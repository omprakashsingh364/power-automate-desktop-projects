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8800" windowHeight="11730"/>
  </bookViews>
  <sheets>
    <sheet name="Priority" sheetId="1" r:id="rId1"/>
    <sheet name="Regular" sheetId="2" r:id="rId2"/>
    <sheet name="Find_Info" sheetId="3" r:id="rId3"/>
    <sheet name="DI_Info_Find" sheetId="6" r:id="rId4"/>
    <sheet name="DI_Logs" sheetId="7" r:id="rId5"/>
    <sheet name="Count_Log" sheetId="8" r:id="rId6"/>
    <sheet name="Data_Validation" sheetId="4" state="hidden" r:id="rId7"/>
  </sheets>
  <definedNames>
    <definedName name="_xlnm._FilterDatabase" localSheetId="0" hidden="1">Priority!$A$1:$P$2</definedName>
    <definedName name="_xlnm._FilterDatabase" localSheetId="1" hidden="1">Regular!$A$1:$P$1</definedName>
    <definedName name="_xleta.NOT" hidden="1" xlm="1" functionGroupId="14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<sst xmlns="http://schemas.openxmlformats.org/spreadsheetml/2006/main" count="312" uniqueCount="269">
  <si>
    <t>Download Date</t>
  </si>
  <si>
    <t>CLAIMS#</t>
  </si>
  <si>
    <t>Account Number</t>
  </si>
  <si>
    <t>SERVICE DATE</t>
  </si>
  <si>
    <t>PATIENT</t>
  </si>
  <si>
    <t>PAYER</t>
  </si>
  <si>
    <t>Facility Name</t>
  </si>
  <si>
    <t>PROVIDER NAME</t>
  </si>
  <si>
    <t>FROM CLAIM STATUS</t>
  </si>
  <si>
    <t>TO CLAIM STATUS</t>
  </si>
  <si>
    <t>REMARK</t>
  </si>
  <si>
    <t>EMP ID</t>
  </si>
  <si>
    <t>CHARGE ENTRY NAME</t>
  </si>
  <si>
    <t>WORK DATE</t>
  </si>
  <si>
    <t>COMMENTS</t>
  </si>
  <si>
    <t>MARKET</t>
  </si>
  <si>
    <t>TAYLOR,MICHELE</t>
  </si>
  <si>
    <t>SIMPLY RISK CAP MCD. MGD CARE</t>
  </si>
  <si>
    <t>FACILITY NAME</t>
  </si>
  <si>
    <t>Mahmood,Jazbeen</t>
  </si>
  <si>
    <t>Biller Review</t>
  </si>
  <si>
    <t>RTS</t>
  </si>
  <si>
    <t>Error 2249</t>
  </si>
  <si>
    <t>Prakash, Om</t>
  </si>
  <si>
    <t>XYZ</t>
  </si>
  <si>
    <t>NDC Code</t>
  </si>
  <si>
    <t>Unit</t>
  </si>
  <si>
    <t>Description</t>
  </si>
  <si>
    <t>CPS Unit</t>
  </si>
  <si>
    <t>NDC Unit</t>
  </si>
  <si>
    <t>CODE</t>
  </si>
  <si>
    <t>Q</t>
  </si>
  <si>
    <t>Cal</t>
  </si>
  <si>
    <t>CPT</t>
  </si>
  <si>
    <t>NDC Excel Path</t>
  </si>
  <si>
    <t>Path\Desktop\Files\Config_Files\NDC.xlsm</t>
  </si>
  <si>
    <t>J0171</t>
  </si>
  <si>
    <t>Epinephrine</t>
  </si>
  <si>
    <t>00409724101</t>
  </si>
  <si>
    <t>ML</t>
  </si>
  <si>
    <t>Fee Excel Path</t>
  </si>
  <si>
    <t>Path\Desktop\Files\Config_Files\Fee Value.xlsx</t>
  </si>
  <si>
    <t>Check ICD</t>
  </si>
  <si>
    <t>ICD in Claim</t>
  </si>
  <si>
    <t>Fee</t>
  </si>
  <si>
    <t>DI_Type</t>
  </si>
  <si>
    <t>Prof DOS</t>
  </si>
  <si>
    <t>Provider Name</t>
  </si>
  <si>
    <t>State</t>
  </si>
  <si>
    <t>Facility_Name</t>
  </si>
  <si>
    <t>Bill_Fee</t>
  </si>
  <si>
    <t>Multiple CPT</t>
  </si>
  <si>
    <t>CPT_Title</t>
  </si>
  <si>
    <t>Timestamp</t>
  </si>
  <si>
    <t>Action</t>
  </si>
  <si>
    <t>Claim No</t>
  </si>
  <si>
    <t>Target Row</t>
  </si>
  <si>
    <t>Details</t>
  </si>
  <si>
    <t>Complete</t>
  </si>
  <si>
    <t>Clarification</t>
  </si>
  <si>
    <t>Already Done</t>
  </si>
  <si>
    <t>Status</t>
  </si>
  <si>
    <t>Remark</t>
  </si>
  <si>
    <t>DI Provider Name</t>
  </si>
  <si>
    <t>DI Facility</t>
  </si>
  <si>
    <t xml:space="preserve">Vendor </t>
  </si>
  <si>
    <t>DI TEST</t>
  </si>
  <si>
    <t xml:space="preserve">Fee </t>
  </si>
  <si>
    <t>ECW</t>
  </si>
  <si>
    <t>ICD</t>
  </si>
  <si>
    <t>Ready to Submit (Electronic)</t>
  </si>
  <si>
    <t>Bhagavast,Aparna</t>
  </si>
  <si>
    <t>Bhagavast,Aparna_FL</t>
  </si>
  <si>
    <t>ADVANCED CARDIAC DIAGNOSTICS FL Bhagavast</t>
  </si>
  <si>
    <t>JUAN R TELLERIA_Echo</t>
  </si>
  <si>
    <t>Echocardiogram/ Echo</t>
  </si>
  <si>
    <t xml:space="preserve">Conviva </t>
  </si>
  <si>
    <t>Z13.6</t>
  </si>
  <si>
    <t>Pending</t>
  </si>
  <si>
    <t>Blake,George</t>
  </si>
  <si>
    <t>Blake,George_FL</t>
  </si>
  <si>
    <t>ADVANCED CARDIAC DIAGNOSTICS FL Blake</t>
  </si>
  <si>
    <t>JUAN R TELLERIA_US</t>
  </si>
  <si>
    <t>Holter/ US</t>
  </si>
  <si>
    <t>Submitted</t>
  </si>
  <si>
    <t>Das,Aparajita</t>
  </si>
  <si>
    <t>Das,Aparajita_FL</t>
  </si>
  <si>
    <t>ADVANCED CARDIAC DIAGNOSTICS FL Das</t>
  </si>
  <si>
    <t>JUAN R TELLERIA_X-Ray</t>
  </si>
  <si>
    <t>All X-rays</t>
  </si>
  <si>
    <t>Clearinghouse Accepted</t>
  </si>
  <si>
    <t>Gosavi,Sucheta</t>
  </si>
  <si>
    <t>Gosavi,Sucheta_FL</t>
  </si>
  <si>
    <t>ADVANCED CARDIAC DIAGNOSTICS FL Gosavi</t>
  </si>
  <si>
    <t>SOUTHEAST MEDICAL IMAGING_X-Ray</t>
  </si>
  <si>
    <t xml:space="preserve">X-ray </t>
  </si>
  <si>
    <t>Clearinghouse Rejected</t>
  </si>
  <si>
    <t>Kannabhiran,Munish</t>
  </si>
  <si>
    <t>Kannabhiran,Munish_FL</t>
  </si>
  <si>
    <t>ADVANCED CARDIAC DIAGNOSTICS FL Kannabhiran</t>
  </si>
  <si>
    <t>SOUTHEAST MEDICAL IMAGING_US</t>
  </si>
  <si>
    <t>General &amp; Vascualar/ US</t>
  </si>
  <si>
    <t>Insurance Accepted</t>
  </si>
  <si>
    <t>Perez,Margarita</t>
  </si>
  <si>
    <t>Perez,Margarita_FL</t>
  </si>
  <si>
    <t>ADVANCED CARDIAC DIAGNOSTICS FL Perez</t>
  </si>
  <si>
    <t>SOUTHEAST MEDICAL IMAGING_Echo</t>
  </si>
  <si>
    <t>Z13.83</t>
  </si>
  <si>
    <t>Insurance Rejected</t>
  </si>
  <si>
    <t>Pina,Paloma</t>
  </si>
  <si>
    <t>Pina,Paloma_FL</t>
  </si>
  <si>
    <t>ADVANCED CARDIAC DIAGNOSTICS FL Pina</t>
  </si>
  <si>
    <t>SOUTHEAST MEDICAL IMAGING_ECG</t>
  </si>
  <si>
    <t>ECG</t>
  </si>
  <si>
    <t>Patient</t>
  </si>
  <si>
    <t>Silber,David</t>
  </si>
  <si>
    <t>Silber,David_FL</t>
  </si>
  <si>
    <t>ADVANCED CARDIAC DIAGNOSTICS FL Silber</t>
  </si>
  <si>
    <t>SOUTHEAST MEDICAL IMAGING_Holter</t>
  </si>
  <si>
    <t>24 Hour Holter</t>
  </si>
  <si>
    <t>Pending With Errors</t>
  </si>
  <si>
    <t>Upadhyay,Ankit</t>
  </si>
  <si>
    <t>Upadhyay,Ankit_FL</t>
  </si>
  <si>
    <t>ADVANCED CARDIAC DIAGNOSTICS FL Upadhyay</t>
  </si>
  <si>
    <t>ADVANCED CARDIAC DIAGNOSTICS_Echo</t>
  </si>
  <si>
    <t>G0442</t>
  </si>
  <si>
    <t>Z13.39</t>
  </si>
  <si>
    <t>Pending Addendum</t>
  </si>
  <si>
    <t>Wheeler,William</t>
  </si>
  <si>
    <t>Wheeler,William_FL</t>
  </si>
  <si>
    <t>ADVANCED CARDIAC DIAGNOSTICS FL Wheeler</t>
  </si>
  <si>
    <t>G0443</t>
  </si>
  <si>
    <t>11-CODER Review</t>
  </si>
  <si>
    <t>Schwartz,Brian</t>
  </si>
  <si>
    <t>Bhagavast,Aparna_TX</t>
  </si>
  <si>
    <t>ADVANCED CARDIAC DIAGNOSTICS TX Bhagavast</t>
  </si>
  <si>
    <t>15-Conviva Specialty Group-NCH</t>
  </si>
  <si>
    <t>Chandler,Jerry</t>
  </si>
  <si>
    <t>Blake,George_TX</t>
  </si>
  <si>
    <t>ADVANCED CARDIAC DIAGNOSTICS TX Blake</t>
  </si>
  <si>
    <t>Z13.858</t>
  </si>
  <si>
    <t>17-BILLER Review</t>
  </si>
  <si>
    <t>Schwartz,Charles</t>
  </si>
  <si>
    <t>Das,Aparajita_TX</t>
  </si>
  <si>
    <t>ADVANCED CARDIAC DIAGNOSTICS TX Das</t>
  </si>
  <si>
    <t>G0444</t>
  </si>
  <si>
    <t>Z13.31</t>
  </si>
  <si>
    <t>ZZ18-Non-Billable Visit</t>
  </si>
  <si>
    <t>Cox,Marcus</t>
  </si>
  <si>
    <t>Gosavi,Sucheta_TX</t>
  </si>
  <si>
    <t>ADVANCED CARDIAC DIAGNOSTICS TX Gosavi</t>
  </si>
  <si>
    <t>19-Resubmittal</t>
  </si>
  <si>
    <t>Illovsky,Michael</t>
  </si>
  <si>
    <t>Kannabhiran,Munish_TX</t>
  </si>
  <si>
    <t>ADVANCED CARDIAC DIAGNOSTICS TX Kannabhiran</t>
  </si>
  <si>
    <t>20-PAYER DENIED</t>
  </si>
  <si>
    <t>Kaveti,Punita</t>
  </si>
  <si>
    <t>Perez,Margarita_TX</t>
  </si>
  <si>
    <t>ADVANCED CARDIAC DIAGNOSTICS TX Perez</t>
  </si>
  <si>
    <t>27-CRED-Provider Credentialing</t>
  </si>
  <si>
    <t>Michelin,Krista</t>
  </si>
  <si>
    <t>Pina,Paloma_TX</t>
  </si>
  <si>
    <t>ADVANCED CARDIAC DIAGNOSTICS TX Pina</t>
  </si>
  <si>
    <t>28-Contracting</t>
  </si>
  <si>
    <t>Sangosanya,Afolabi</t>
  </si>
  <si>
    <t>Silber,David_TX</t>
  </si>
  <si>
    <t>ADVANCED CARDIAC DIAGNOSTICS TX Silber</t>
  </si>
  <si>
    <t>38 Secondary Claim Submitted</t>
  </si>
  <si>
    <t>Smithson,Shaun</t>
  </si>
  <si>
    <t>Upadhyay,Ankit_TX</t>
  </si>
  <si>
    <t>ADVANCED CARDIAC DIAGNOSTICS TX Upadhyay</t>
  </si>
  <si>
    <t>39- Termed Providers</t>
  </si>
  <si>
    <t>Sundaram,Senthil</t>
  </si>
  <si>
    <t>Wheeler,William_TX</t>
  </si>
  <si>
    <t>ADVANCED CARDIAC DIAGNOSTICS TX Wheeler</t>
  </si>
  <si>
    <t>41-BA Configuration</t>
  </si>
  <si>
    <t>Vinson,Thomas</t>
  </si>
  <si>
    <t>Schwartz,Brian_FL</t>
  </si>
  <si>
    <t>ADVANCED CARDIAC DIAGNOSTICS-FL Brian Schwartz</t>
  </si>
  <si>
    <t>42 ELITE BA CONFIGURATION</t>
  </si>
  <si>
    <t>Borrero,George</t>
  </si>
  <si>
    <t>Chandler,Jerry_FL</t>
  </si>
  <si>
    <t>ADVANCED CARDIAC DIAGNOSTICS-FL Chandler</t>
  </si>
  <si>
    <t>54-FIN-Finalized</t>
  </si>
  <si>
    <t>Gracia,Roland</t>
  </si>
  <si>
    <t>Schwartz,Charles_FL</t>
  </si>
  <si>
    <t>ADVANCED CARDIAC DIAGNOSTICS-FL Charles Schwartz</t>
  </si>
  <si>
    <t>DIAGNOSTIC IMAGING REVIEW</t>
  </si>
  <si>
    <t>Rodriguez,Jose</t>
  </si>
  <si>
    <t>Cox,Marcus_FL</t>
  </si>
  <si>
    <t>ADVANCED CARDIAC DIAGNOSTICS-FL Cox</t>
  </si>
  <si>
    <t>ELITE DIAGNOSTIC REVIEW</t>
  </si>
  <si>
    <t>Stucky,Jody</t>
  </si>
  <si>
    <t>Illovsky,Michael_FL</t>
  </si>
  <si>
    <t>ADVANCED CARDIAC DIAGNOSTICS-FL Illovsky</t>
  </si>
  <si>
    <t>Coding Claim Hold</t>
  </si>
  <si>
    <t>Telleria,Juan</t>
  </si>
  <si>
    <t>Kaveti,Punita_FL</t>
  </si>
  <si>
    <t>ADVANCED CARDIAC DIAGNOSTICS-FL Kaveti</t>
  </si>
  <si>
    <t>ELITE CONCIERGE</t>
  </si>
  <si>
    <t>Blankstein,Ronald</t>
  </si>
  <si>
    <t>Michelin,Krista_FL</t>
  </si>
  <si>
    <t>ADVANCED CARDIAC DIAGNOSTICS-FL Michelin</t>
  </si>
  <si>
    <t>ZZ9 Ancillary Validation</t>
  </si>
  <si>
    <t>Krakovitz,Mark</t>
  </si>
  <si>
    <t>Sangosanya,Afolabi_FL</t>
  </si>
  <si>
    <t>ADVANCED CARDIAC DIAGNOSTICS-FL Sangosanya</t>
  </si>
  <si>
    <t>ZZ10 Audio Validation</t>
  </si>
  <si>
    <t>Smithson,Shaun_FL</t>
  </si>
  <si>
    <t>ADVANCED CARDIAC DIAGNOSTICS-FL Smithson</t>
  </si>
  <si>
    <t>PCO CONCIERGE</t>
  </si>
  <si>
    <t>Sundaram,Senthil_FL</t>
  </si>
  <si>
    <t>ADVANCED CARDIAC DIAGNOSTICS-FL Sundaram</t>
  </si>
  <si>
    <t>Non Billable Provider</t>
  </si>
  <si>
    <t>Vinson,Thomas_FL</t>
  </si>
  <si>
    <t>ADVANCED CARDIAC DIAGNOSTICS-FL Vinson</t>
  </si>
  <si>
    <t>NonBill Termed Prov Admin Lock</t>
  </si>
  <si>
    <t>Schwartz,Brian_TX</t>
  </si>
  <si>
    <t>ADVANCED CARDIAC DIAGNOSTICS-TX Brian Schwartz</t>
  </si>
  <si>
    <t>Non Billable Other</t>
  </si>
  <si>
    <t>Chandler,Jerry_TX</t>
  </si>
  <si>
    <t>ADVANCED CARDIAC DIAGNOSTICS-TX Chandler</t>
  </si>
  <si>
    <t>Already Done!</t>
  </si>
  <si>
    <t>Schwartz,Charles_TX</t>
  </si>
  <si>
    <t>ADVANCED CARDIAC DIAGNOSTICS-TX Charles Schwartz</t>
  </si>
  <si>
    <t>Cox,Marcus_TX</t>
  </si>
  <si>
    <t>ADVANCED CARDIAC DIAGNOSTICS-TX Cox</t>
  </si>
  <si>
    <t>Illovsky,Michael_TX</t>
  </si>
  <si>
    <t>ADVANCED CARDIAC DIAGNOSTICS-TX Illovsky</t>
  </si>
  <si>
    <t>Kaveti,Punita_TX</t>
  </si>
  <si>
    <t>ADVANCED CARDIAC DIAGNOSTICS-TX Kaveti</t>
  </si>
  <si>
    <t>Michelin,Krista_TX</t>
  </si>
  <si>
    <t>ADVANCED CARDIAC DIAGNOSTICS-TX Michelin</t>
  </si>
  <si>
    <t>Sangosanya,Afolabi_TX</t>
  </si>
  <si>
    <t>ADVANCED CARDIAC DIAGNOSTICS-TX Sangosanya</t>
  </si>
  <si>
    <t>Smithson,Shaun_TX</t>
  </si>
  <si>
    <t>ADVANCED CARDIAC DIAGNOSTICS-TX Smithson</t>
  </si>
  <si>
    <t>Sundaram,Senthil_TX</t>
  </si>
  <si>
    <t>ADVANCED CARDIAC DIAGNOSTICS-TX Sundaram</t>
  </si>
  <si>
    <t>Vinson,Thomas_TX</t>
  </si>
  <si>
    <t>ADVANCED CARDIAC DIAGNOSTICS-TX Vinson</t>
  </si>
  <si>
    <t>Borrero,George_FL</t>
  </si>
  <si>
    <t>JUAN R TELLERIA MD PA-FL Borrero</t>
  </si>
  <si>
    <t>Gracia,Roland_FL</t>
  </si>
  <si>
    <t>JUAN R TELLERIA MD PA-FL Gracia</t>
  </si>
  <si>
    <t>Rodriguez,Jose_FL</t>
  </si>
  <si>
    <t>JUAN R TELLERIA MD PA-FL Rodriguez</t>
  </si>
  <si>
    <t>Stucky,Jody_FL</t>
  </si>
  <si>
    <t>JUAN R TELLERIA MD PA-FL Stucky</t>
  </si>
  <si>
    <t>Telleria,Juan_FL</t>
  </si>
  <si>
    <t>JUAN R TELLERIA MD PA-FL Telleria</t>
  </si>
  <si>
    <t>Borrero,George_TX</t>
  </si>
  <si>
    <t>JUAN R TELLERIA MD PA-TX Borrero</t>
  </si>
  <si>
    <t>Gracia,Roland_TX</t>
  </si>
  <si>
    <t>JUAN R TELLERIA MD PA-TX Gracia</t>
  </si>
  <si>
    <t>Rodriguez,Jose_TX</t>
  </si>
  <si>
    <t>JUAN R TELLERIA MD PA-TX Rodriguez</t>
  </si>
  <si>
    <t>Stucky,Jody_TX</t>
  </si>
  <si>
    <t>JUAN R TELLERIA MD PA-TX Stucky</t>
  </si>
  <si>
    <t>Telleria,Juan_TX</t>
  </si>
  <si>
    <t>JUAN R TELLERIA MD PA-TX Telleria</t>
  </si>
  <si>
    <t>Blankstein,Ronald_FL</t>
  </si>
  <si>
    <t>SOUTHEAST MEDICAL IMAGING-FL Blankstein</t>
  </si>
  <si>
    <t>Krakovitz,Mark_FL</t>
  </si>
  <si>
    <t>SOUTHEAST MEDICAL IMAGING-FL Krakovitz</t>
  </si>
  <si>
    <t>Blankstein,Ronald_TX</t>
  </si>
  <si>
    <t>SOUTHEAST MEDICAL IMAGING-TX Blankstein</t>
  </si>
  <si>
    <t>Krakovitz,Mark_TX</t>
  </si>
  <si>
    <t>SOUTHEAST MEDICAL IMAGING-TX Krakovitz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</si>
</sst>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8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dd/mm/yyyy\ hh:mm"/>
    <numFmt numFmtId="181" formatCode="mm/dd/yyyy;@"/>
    <numFmt numFmtId="182" formatCode="mm/dd/yyyy"/>
    <numFmt numFmtId="183" formatCode="dd/mm/yyyy"/>
  </numFmts>
  <fonts count="29">
    <font>
      <sz val="11"/>
      <color theme="1"/>
      <name val="Aptos Narrow"/>
      <charset val="134"/>
      <scheme val="minor"/>
    </font>
    <font>
      <b/>
      <sz val="11"/>
      <color theme="1"/>
      <name val="Aptos Narrow"/>
      <charset val="134"/>
      <scheme val="minor"/>
    </font>
    <font>
      <b/>
      <sz val="11"/>
      <name val="Aptos Narrow"/>
      <charset val="134"/>
      <scheme val="minor"/>
    </font>
    <font>
      <sz val="11"/>
      <name val="Aptos Narrow"/>
      <charset val="134"/>
      <scheme val="minor"/>
    </font>
    <font>
      <sz val="11"/>
      <color rgb="FF00B050"/>
      <name val="Aptos Narrow"/>
      <charset val="134"/>
      <scheme val="minor"/>
    </font>
    <font>
      <b/>
      <sz val="11"/>
      <color rgb="FF00B050"/>
      <name val="Aptos Narrow"/>
      <charset val="134"/>
      <scheme val="minor"/>
    </font>
    <font>
      <sz val="11"/>
      <color rgb="FFC00000"/>
      <name val="Aptos Narrow"/>
      <charset val="134"/>
      <scheme val="minor"/>
    </font>
    <font>
      <b/>
      <sz val="11"/>
      <color rgb="FFC00000"/>
      <name val="Aptos Narrow"/>
      <charset val="134"/>
      <scheme val="minor"/>
    </font>
    <font>
      <sz val="11"/>
      <color rgb="FF3F3F76"/>
      <name val="Aptos Narrow"/>
      <charset val="134"/>
      <scheme val="minor"/>
    </font>
    <font>
      <b/>
      <sz val="11"/>
      <color rgb="FF3F3F3F"/>
      <name val="Aptos Narrow"/>
      <charset val="134"/>
      <scheme val="minor"/>
    </font>
    <font>
      <u/>
      <sz val="11"/>
      <color theme="10"/>
      <name val="Aptos Narrow"/>
      <charset val="134"/>
      <scheme val="minor"/>
    </font>
    <font>
      <sz val="11"/>
      <color rgb="FF006100"/>
      <name val="Aptos Narrow"/>
      <charset val="134"/>
      <scheme val="minor"/>
    </font>
    <font>
      <b/>
      <sz val="11"/>
      <name val="Roboto"/>
      <charset val="134"/>
    </font>
    <font>
      <sz val="11"/>
      <name val="Aptos Narrow"/>
      <charset val="134"/>
    </font>
    <font>
      <b/>
      <sz val="11"/>
      <name val="Aptos Narrow"/>
      <charset val="134"/>
    </font>
    <font>
      <u/>
      <sz val="11"/>
      <color rgb="FF800080"/>
      <name val="Aptos Narrow"/>
      <charset val="0"/>
      <scheme val="minor"/>
    </font>
    <font>
      <sz val="11"/>
      <color rgb="FFFF0000"/>
      <name val="Aptos Narrow"/>
      <charset val="134"/>
      <scheme val="minor"/>
    </font>
    <font>
      <sz val="18"/>
      <color theme="3"/>
      <name val="Aptos Display"/>
      <charset val="134"/>
      <scheme val="major"/>
    </font>
    <font>
      <i/>
      <sz val="11"/>
      <color rgb="FF7F7F7F"/>
      <name val="Aptos Narrow"/>
      <charset val="134"/>
      <scheme val="minor"/>
    </font>
    <font>
      <b/>
      <sz val="15"/>
      <color theme="3"/>
      <name val="Aptos Narrow"/>
      <charset val="134"/>
      <scheme val="minor"/>
    </font>
    <font>
      <b/>
      <sz val="13"/>
      <color theme="3"/>
      <name val="Aptos Narrow"/>
      <charset val="134"/>
      <scheme val="minor"/>
    </font>
    <font>
      <b/>
      <sz val="11"/>
      <color theme="3"/>
      <name val="Aptos Narrow"/>
      <charset val="134"/>
      <scheme val="minor"/>
    </font>
    <font>
      <b/>
      <sz val="11"/>
      <color rgb="FFFA7D00"/>
      <name val="Aptos Narrow"/>
      <charset val="134"/>
      <scheme val="minor"/>
    </font>
    <font>
      <b/>
      <sz val="11"/>
      <color theme="0"/>
      <name val="Aptos Narrow"/>
      <charset val="134"/>
      <scheme val="minor"/>
    </font>
    <font>
      <sz val="11"/>
      <color rgb="FFFA7D00"/>
      <name val="Aptos Narrow"/>
      <charset val="134"/>
      <scheme val="minor"/>
    </font>
    <font>
      <sz val="11"/>
      <color rgb="FF9C0006"/>
      <name val="Aptos Narrow"/>
      <charset val="134"/>
      <scheme val="minor"/>
    </font>
    <font>
      <sz val="11"/>
      <color rgb="FF9C5700"/>
      <name val="Aptos Narrow"/>
      <charset val="134"/>
      <scheme val="minor"/>
    </font>
    <font>
      <sz val="11"/>
      <color theme="0"/>
      <name val="Aptos Narrow"/>
      <charset val="134"/>
      <scheme val="minor"/>
    </font>
    <font>
      <sz val="12"/>
      <color theme="1"/>
      <name val="Aptos Narrow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/>
    <xf numFmtId="0" fontId="15" fillId="0" borderId="0" applyNumberFormat="0" applyFill="0" applyBorder="0" applyAlignment="0" applyProtection="0">
      <alignment vertical="center"/>
    </xf>
    <xf numFmtId="0" fontId="0" fillId="6" borderId="5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6" applyNumberFormat="0" applyFill="0" applyAlignment="0" applyProtection="0"/>
    <xf numFmtId="0" fontId="20" fillId="0" borderId="7" applyNumberFormat="0" applyFill="0" applyAlignment="0" applyProtection="0"/>
    <xf numFmtId="0" fontId="21" fillId="0" borderId="8" applyNumberFormat="0" applyFill="0" applyAlignment="0" applyProtection="0"/>
    <xf numFmtId="0" fontId="21" fillId="0" borderId="0" applyNumberFormat="0" applyFill="0" applyBorder="0" applyAlignment="0" applyProtection="0"/>
    <xf numFmtId="0" fontId="8" fillId="3" borderId="2" applyNumberFormat="0" applyAlignment="0" applyProtection="0"/>
    <xf numFmtId="0" fontId="9" fillId="4" borderId="3" applyNumberFormat="0" applyAlignment="0" applyProtection="0"/>
    <xf numFmtId="0" fontId="22" fillId="4" borderId="2" applyNumberFormat="0" applyAlignment="0" applyProtection="0"/>
    <xf numFmtId="0" fontId="23" fillId="7" borderId="9" applyNumberFormat="0" applyAlignment="0" applyProtection="0"/>
    <xf numFmtId="0" fontId="24" fillId="0" borderId="10" applyNumberFormat="0" applyFill="0" applyAlignment="0" applyProtection="0"/>
    <xf numFmtId="0" fontId="1" fillId="0" borderId="11" applyNumberFormat="0" applyFill="0" applyAlignment="0" applyProtection="0"/>
    <xf numFmtId="0" fontId="11" fillId="5" borderId="0" applyNumberFormat="0" applyBorder="0" applyAlignment="0" applyProtection="0"/>
    <xf numFmtId="0" fontId="25" fillId="8" borderId="0" applyNumberFormat="0" applyBorder="0" applyAlignment="0" applyProtection="0"/>
    <xf numFmtId="0" fontId="26" fillId="9" borderId="0" applyNumberFormat="0" applyBorder="0" applyAlignment="0" applyProtection="0"/>
    <xf numFmtId="0" fontId="27" fillId="10" borderId="0" applyNumberFormat="0" applyBorder="0" applyAlignment="0" applyProtection="0"/>
    <xf numFmtId="0" fontId="0" fillId="11" borderId="0" applyNumberFormat="0" applyBorder="0" applyAlignment="0" applyProtection="0"/>
    <xf numFmtId="0" fontId="0" fillId="12" borderId="0" applyNumberFormat="0" applyBorder="0" applyAlignment="0" applyProtection="0"/>
    <xf numFmtId="0" fontId="0" fillId="13" borderId="0" applyNumberFormat="0" applyBorder="0" applyAlignment="0" applyProtection="0"/>
    <xf numFmtId="0" fontId="27" fillId="14" borderId="0" applyNumberFormat="0" applyBorder="0" applyAlignment="0" applyProtection="0"/>
    <xf numFmtId="0" fontId="0" fillId="15" borderId="0" applyNumberFormat="0" applyBorder="0" applyAlignment="0" applyProtection="0"/>
    <xf numFmtId="0" fontId="0" fillId="16" borderId="0" applyNumberFormat="0" applyBorder="0" applyAlignment="0" applyProtection="0"/>
    <xf numFmtId="0" fontId="0" fillId="17" borderId="0" applyNumberFormat="0" applyBorder="0" applyAlignment="0" applyProtection="0"/>
    <xf numFmtId="0" fontId="27" fillId="18" borderId="0" applyNumberFormat="0" applyBorder="0" applyAlignment="0" applyProtection="0"/>
    <xf numFmtId="0" fontId="0" fillId="19" borderId="0" applyNumberFormat="0" applyBorder="0" applyAlignment="0" applyProtection="0"/>
    <xf numFmtId="0" fontId="0" fillId="20" borderId="0" applyNumberFormat="0" applyBorder="0" applyAlignment="0" applyProtection="0"/>
    <xf numFmtId="0" fontId="0" fillId="21" borderId="0" applyNumberFormat="0" applyBorder="0" applyAlignment="0" applyProtection="0"/>
    <xf numFmtId="0" fontId="27" fillId="22" borderId="0" applyNumberFormat="0" applyBorder="0" applyAlignment="0" applyProtection="0"/>
    <xf numFmtId="0" fontId="0" fillId="23" borderId="0" applyNumberFormat="0" applyBorder="0" applyAlignment="0" applyProtection="0"/>
    <xf numFmtId="0" fontId="0" fillId="24" borderId="0" applyNumberFormat="0" applyBorder="0" applyAlignment="0" applyProtection="0"/>
    <xf numFmtId="0" fontId="0" fillId="25" borderId="0" applyNumberFormat="0" applyBorder="0" applyAlignment="0" applyProtection="0"/>
    <xf numFmtId="0" fontId="27" fillId="26" borderId="0" applyNumberFormat="0" applyBorder="0" applyAlignment="0" applyProtection="0"/>
    <xf numFmtId="0" fontId="0" fillId="27" borderId="0" applyNumberFormat="0" applyBorder="0" applyAlignment="0" applyProtection="0"/>
    <xf numFmtId="0" fontId="0" fillId="28" borderId="0" applyNumberFormat="0" applyBorder="0" applyAlignment="0" applyProtection="0"/>
    <xf numFmtId="0" fontId="0" fillId="29" borderId="0" applyNumberFormat="0" applyBorder="0" applyAlignment="0" applyProtection="0"/>
    <xf numFmtId="0" fontId="27" fillId="30" borderId="0" applyNumberFormat="0" applyBorder="0" applyAlignment="0" applyProtection="0"/>
    <xf numFmtId="0" fontId="0" fillId="31" borderId="0" applyNumberFormat="0" applyBorder="0" applyAlignment="0" applyProtection="0"/>
    <xf numFmtId="0" fontId="0" fillId="32" borderId="0" applyNumberFormat="0" applyBorder="0" applyAlignment="0" applyProtection="0"/>
    <xf numFmtId="0" fontId="0" fillId="33" borderId="0" applyNumberFormat="0" applyBorder="0" applyAlignment="0" applyProtection="0"/>
    <xf numFmtId="0" fontId="28" fillId="0" borderId="0"/>
  </cellStyleXfs>
  <cellXfs count="41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/>
    <xf numFmtId="180" fontId="4" fillId="0" borderId="0" xfId="0" applyNumberFormat="1" applyFont="1"/>
    <xf numFmtId="0" fontId="4" fillId="0" borderId="0" xfId="0" applyFont="1"/>
    <xf numFmtId="0" fontId="5" fillId="0" borderId="0" xfId="0" applyFont="1"/>
    <xf numFmtId="180" fontId="6" fillId="0" borderId="0" xfId="0" applyNumberFormat="1" applyFont="1"/>
    <xf numFmtId="0" fontId="7" fillId="0" borderId="0" xfId="0" applyFont="1"/>
    <xf numFmtId="0" fontId="6" fillId="0" borderId="0" xfId="0" applyFont="1"/>
    <xf numFmtId="180" fontId="3" fillId="0" borderId="0" xfId="0" applyNumberFormat="1" applyFont="1"/>
    <xf numFmtId="181" fontId="0" fillId="0" borderId="0" xfId="0" applyNumberForma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0" fontId="8" fillId="3" borderId="2" xfId="16" applyAlignment="1">
      <alignment horizontal="center" vertical="center"/>
    </xf>
    <xf numFmtId="0" fontId="9" fillId="4" borderId="3" xfId="17" applyAlignment="1">
      <alignment horizontal="center" vertical="center"/>
    </xf>
    <xf numFmtId="49" fontId="9" fillId="4" borderId="3" xfId="17" applyNumberFormat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center"/>
    </xf>
    <xf numFmtId="0" fontId="2" fillId="4" borderId="3" xfId="17" applyFont="1" applyAlignment="1">
      <alignment horizontal="center" vertical="center"/>
    </xf>
    <xf numFmtId="0" fontId="9" fillId="4" borderId="3" xfId="17" applyAlignment="1">
      <alignment horizont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/>
    <xf numFmtId="0" fontId="10" fillId="0" borderId="0" xfId="6"/>
    <xf numFmtId="0" fontId="11" fillId="5" borderId="1" xfId="22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12" fillId="0" borderId="0" xfId="0" applyFont="1" applyAlignment="1">
      <alignment horizontal="left" vertical="center"/>
    </xf>
    <xf numFmtId="18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 wrapText="1"/>
    </xf>
    <xf numFmtId="0" fontId="2" fillId="0" borderId="0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horizontal="left" vertical="center"/>
    </xf>
    <xf numFmtId="182" fontId="14" fillId="0" borderId="0" xfId="0" applyNumberFormat="1" applyFont="1" applyFill="1" applyBorder="1" applyAlignment="1">
      <alignment horizontal="left" vertical="center"/>
    </xf>
    <xf numFmtId="183" fontId="13" fillId="0" borderId="0" xfId="0" applyNumberFormat="1" applyFont="1" applyFill="1" applyBorder="1" applyAlignment="1">
      <alignment horizontal="left" vertical="center"/>
    </xf>
  </cellXfs>
  <cellStyles count="50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Normal 2" xfId="49"/>
  </cellStyles>
  <dxfs count="2">
    <dxf>
      <font>
        <color rgb="FF9C0006"/>
      </font>
      <fill>
        <patternFill patternType="solid">
          <bgColor rgb="FFFFC7CE"/>
        </patternFill>
      </fill>
    </dxf>
    <dxf>
      <numFmt numFmtId="181" formatCode="mm/dd/yyyy;@"/>
      <alignment horizontal="center" vertic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tyles" Target="styles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4</xdr:col>
      <xdr:colOff>709083</xdr:colOff>
      <xdr:row>0</xdr:row>
      <xdr:rowOff>21167</xdr:rowOff>
    </xdr:from>
    <xdr:to>
      <xdr:col>4</xdr:col>
      <xdr:colOff>1936750</xdr:colOff>
      <xdr:row>0</xdr:row>
      <xdr:rowOff>285750</xdr:rowOff>
    </xdr:to>
    <xdr:sp macro="[0]!ImportDailyData">
      <xdr:nvSpPr>
        <xdr:cNvPr id="2" name="Rectangle: Rounded Corners 1"/>
        <xdr:cNvSpPr/>
      </xdr:nvSpPr>
      <xdr:spPr>
        <a:xfrm>
          <a:off x="4823460" y="20955"/>
          <a:ext cx="1228090" cy="264795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Data</a:t>
          </a:r>
          <a:endParaRPr lang="en-US" sz="1100"/>
        </a:p>
      </xdr:txBody>
    </xdr:sp>
    <xdr:clientData/>
  </xdr:twoCellAnchor>
  <xdr:twoCellAnchor>
    <xdr:from>
      <xdr:col>5</xdr:col>
      <xdr:colOff>910166</xdr:colOff>
      <xdr:row>0</xdr:row>
      <xdr:rowOff>21166</xdr:rowOff>
    </xdr:from>
    <xdr:to>
      <xdr:col>5</xdr:col>
      <xdr:colOff>1915584</xdr:colOff>
      <xdr:row>0</xdr:row>
      <xdr:rowOff>306916</xdr:rowOff>
    </xdr:to>
    <xdr:sp macro="[0]!Find_LOB_In_Matrix">
      <xdr:nvSpPr>
        <xdr:cNvPr id="8" name="Rectangle: Rounded Corners 7"/>
        <xdr:cNvSpPr/>
      </xdr:nvSpPr>
      <xdr:spPr>
        <a:xfrm>
          <a:off x="7136130" y="20955"/>
          <a:ext cx="1005205" cy="28575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Validate</a:t>
          </a:r>
          <a:r>
            <a:rPr lang="en-US" sz="1100" baseline="0"/>
            <a:t> LOB</a:t>
          </a:r>
          <a:endParaRPr lang="en-US" sz="1100"/>
        </a:p>
      </xdr:txBody>
    </xdr:sp>
    <xdr:clientData/>
  </xdr:twoCellAnchor>
  <xdr:twoCellAnchor>
    <xdr:from>
      <xdr:col>6</xdr:col>
      <xdr:colOff>836084</xdr:colOff>
      <xdr:row>0</xdr:row>
      <xdr:rowOff>17357</xdr:rowOff>
    </xdr:from>
    <xdr:to>
      <xdr:col>6</xdr:col>
      <xdr:colOff>1840020</xdr:colOff>
      <xdr:row>0</xdr:row>
      <xdr:rowOff>277072</xdr:rowOff>
    </xdr:to>
    <xdr:sp macro="[0]!SaveWorkbookToDynamicPaths">
      <xdr:nvSpPr>
        <xdr:cNvPr id="9" name="Rectangle: Rounded Corners 8"/>
        <xdr:cNvSpPr/>
      </xdr:nvSpPr>
      <xdr:spPr>
        <a:xfrm>
          <a:off x="9380220" y="17145"/>
          <a:ext cx="1003935" cy="259715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Final Touch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4</xdr:col>
      <xdr:colOff>687917</xdr:colOff>
      <xdr:row>0</xdr:row>
      <xdr:rowOff>21167</xdr:rowOff>
    </xdr:from>
    <xdr:to>
      <xdr:col>4</xdr:col>
      <xdr:colOff>1820333</xdr:colOff>
      <xdr:row>0</xdr:row>
      <xdr:rowOff>285750</xdr:rowOff>
    </xdr:to>
    <xdr:sp macro="[0]!ImportDailyData">
      <xdr:nvSpPr>
        <xdr:cNvPr id="2" name="Rectangle: Rounded Corners 1"/>
        <xdr:cNvSpPr/>
      </xdr:nvSpPr>
      <xdr:spPr>
        <a:xfrm>
          <a:off x="5214620" y="20955"/>
          <a:ext cx="1132205" cy="264795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Data</a:t>
          </a:r>
          <a:endParaRPr lang="en-US" sz="1100"/>
        </a:p>
      </xdr:txBody>
    </xdr:sp>
    <xdr:clientData/>
  </xdr:twoCellAnchor>
  <xdr:twoCellAnchor>
    <xdr:from>
      <xdr:col>5</xdr:col>
      <xdr:colOff>910166</xdr:colOff>
      <xdr:row>0</xdr:row>
      <xdr:rowOff>31750</xdr:rowOff>
    </xdr:from>
    <xdr:to>
      <xdr:col>5</xdr:col>
      <xdr:colOff>1894416</xdr:colOff>
      <xdr:row>0</xdr:row>
      <xdr:rowOff>317500</xdr:rowOff>
    </xdr:to>
    <xdr:sp macro="[0]!Find_LOB_In_Matrix">
      <xdr:nvSpPr>
        <xdr:cNvPr id="3" name="Rectangle: Rounded Corners 2"/>
        <xdr:cNvSpPr/>
      </xdr:nvSpPr>
      <xdr:spPr>
        <a:xfrm>
          <a:off x="7962265" y="31750"/>
          <a:ext cx="984250" cy="28575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Validate</a:t>
          </a:r>
          <a:r>
            <a:rPr lang="en-US" sz="1100" baseline="0"/>
            <a:t> LOB</a:t>
          </a:r>
          <a:endParaRPr lang="en-US" sz="1100"/>
        </a:p>
      </xdr:txBody>
    </xdr:sp>
    <xdr:clientData/>
  </xdr:twoCellAnchor>
  <xdr:twoCellAnchor>
    <xdr:from>
      <xdr:col>6</xdr:col>
      <xdr:colOff>804335</xdr:colOff>
      <xdr:row>0</xdr:row>
      <xdr:rowOff>52916</xdr:rowOff>
    </xdr:from>
    <xdr:to>
      <xdr:col>6</xdr:col>
      <xdr:colOff>1711327</xdr:colOff>
      <xdr:row>0</xdr:row>
      <xdr:rowOff>306917</xdr:rowOff>
    </xdr:to>
    <xdr:sp macro="[0]!SaveWorkbookToDynamicPaths">
      <xdr:nvSpPr>
        <xdr:cNvPr id="4" name="Rectangle: Rounded Corners 3"/>
        <xdr:cNvSpPr/>
      </xdr:nvSpPr>
      <xdr:spPr>
        <a:xfrm>
          <a:off x="11720195" y="52705"/>
          <a:ext cx="907415" cy="25400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Final Touch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59120</xdr:colOff>
      <xdr:row>0</xdr:row>
      <xdr:rowOff>59122</xdr:rowOff>
    </xdr:from>
    <xdr:to>
      <xdr:col>2</xdr:col>
      <xdr:colOff>696310</xdr:colOff>
      <xdr:row>1</xdr:row>
      <xdr:rowOff>144518</xdr:rowOff>
    </xdr:to>
    <xdr:sp macro="[0]!FindAndUpdateNDC_Data">
      <xdr:nvSpPr>
        <xdr:cNvPr id="2" name="Rectangle: Rounded Corners 1"/>
        <xdr:cNvSpPr/>
      </xdr:nvSpPr>
      <xdr:spPr>
        <a:xfrm>
          <a:off x="1669415" y="59055"/>
          <a:ext cx="636905" cy="27559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Find</a:t>
          </a:r>
          <a:endParaRPr lang="en-US" sz="1100"/>
        </a:p>
      </xdr:txBody>
    </xdr:sp>
    <xdr:clientData/>
  </xdr:twoCellAnchor>
  <xdr:twoCellAnchor>
    <xdr:from>
      <xdr:col>11</xdr:col>
      <xdr:colOff>31750</xdr:colOff>
      <xdr:row>0</xdr:row>
      <xdr:rowOff>15875</xdr:rowOff>
    </xdr:from>
    <xdr:to>
      <xdr:col>11</xdr:col>
      <xdr:colOff>960437</xdr:colOff>
      <xdr:row>0</xdr:row>
      <xdr:rowOff>166689</xdr:rowOff>
    </xdr:to>
    <xdr:sp macro="[0]!FindAndUpdateFee">
      <xdr:nvSpPr>
        <xdr:cNvPr id="3" name="Rectangle: Rounded Corners 2"/>
        <xdr:cNvSpPr/>
      </xdr:nvSpPr>
      <xdr:spPr>
        <a:xfrm>
          <a:off x="7835265" y="15875"/>
          <a:ext cx="928370" cy="150495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Find Bill Fee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H2" totalsRowShown="0">
  <tableColumns count="8">
    <tableColumn id="1" name="DI_Type"/>
    <tableColumn id="2" name="Prof DOS" dataDxfId="1"/>
    <tableColumn id="3" name="Provider Name"/>
    <tableColumn id="4" name="State"/>
    <tableColumn id="5" name="Facility_Name"/>
    <tableColumn id="6" name="Bill_Fee"/>
    <tableColumn id="7" name="Multiple CPT"/>
    <tableColumn id="8" name="CPT_Title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file:///\\LOUISILON02S\..\..\Config_Files\Fee Value.xlsx" TargetMode="External"/><Relationship Id="rId2" Type="http://schemas.openxmlformats.org/officeDocument/2006/relationships/hyperlink" Target="file:///\\LOUISILON02S\..\..\Config_Files\NDC.xlsm" TargetMode="Externa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R2"/>
  <sheetViews>
    <sheetView tabSelected="1" zoomScale="85" zoomScaleNormal="85" workbookViewId="0">
      <selection activeCell="F31" sqref="F31"/>
    </sheetView>
  </sheetViews>
  <sheetFormatPr defaultColWidth="9.14166666666667" defaultRowHeight="14.25" outlineLevelRow="1"/>
  <cols>
    <col min="1" max="1" width="14.8583333333333" style="37" customWidth="1"/>
    <col min="2" max="2" width="8.85833333333333" style="37" customWidth="1"/>
    <col min="3" max="3" width="16.1416666666667" style="37" customWidth="1"/>
    <col min="4" max="4" width="14.1416666666667" style="37" customWidth="1"/>
    <col min="5" max="5" width="27.7083333333333" style="37" customWidth="1"/>
    <col min="6" max="6" width="30.425" style="37" customWidth="1"/>
    <col min="7" max="7" width="33" style="37" customWidth="1"/>
    <col min="8" max="8" width="17.8583333333333" style="37" customWidth="1"/>
    <col min="9" max="9" width="19.8583333333333" style="37" customWidth="1"/>
    <col min="10" max="10" width="16.8583333333333" style="37" customWidth="1"/>
    <col min="11" max="11" width="65" style="37" customWidth="1"/>
    <col min="12" max="12" width="14.1416666666667" style="37" customWidth="1"/>
    <col min="13" max="13" width="21.425" style="37" customWidth="1"/>
    <col min="14" max="14" width="11.8583333333333" style="37" customWidth="1"/>
    <col min="15" max="15" width="11.7083333333333" style="37" customWidth="1"/>
    <col min="16" max="16" width="8.28333333333333" style="37" customWidth="1"/>
    <col min="17" max="16384" width="9.14166666666667" style="37"/>
  </cols>
  <sheetData>
    <row r="1" s="35" customFormat="1" ht="24.75" customHeight="1" spans="1:18">
      <c r="A1" s="38" t="s">
        <v>0</v>
      </c>
      <c r="B1" s="38" t="s">
        <v>1</v>
      </c>
      <c r="C1" s="38" t="s">
        <v>2</v>
      </c>
      <c r="D1" s="39" t="s">
        <v>3</v>
      </c>
      <c r="E1" s="38" t="s">
        <v>4</v>
      </c>
      <c r="F1" s="38" t="s">
        <v>5</v>
      </c>
      <c r="G1" s="38" t="s">
        <v>6</v>
      </c>
      <c r="H1" s="38" t="s">
        <v>7</v>
      </c>
      <c r="I1" s="38" t="s">
        <v>8</v>
      </c>
      <c r="J1" s="38" t="s">
        <v>9</v>
      </c>
      <c r="K1" s="38" t="s">
        <v>10</v>
      </c>
      <c r="L1" s="38" t="s">
        <v>11</v>
      </c>
      <c r="M1" s="38" t="s">
        <v>12</v>
      </c>
      <c r="N1" s="39" t="s">
        <v>13</v>
      </c>
      <c r="O1" s="38" t="s">
        <v>14</v>
      </c>
      <c r="P1" s="38" t="s">
        <v>15</v>
      </c>
      <c r="Q1" s="38"/>
      <c r="R1" s="38"/>
    </row>
    <row r="2" s="36" customFormat="1" spans="1:16">
      <c r="A2" s="40">
        <v>45945</v>
      </c>
      <c r="B2" s="36">
        <v>123456</v>
      </c>
      <c r="C2" s="36">
        <v>1234567</v>
      </c>
      <c r="D2" s="40">
        <v>45931</v>
      </c>
      <c r="E2" s="36" t="s">
        <v>16</v>
      </c>
      <c r="F2" s="36" t="s">
        <v>17</v>
      </c>
      <c r="G2" s="37" t="s">
        <v>18</v>
      </c>
      <c r="H2" s="36" t="s">
        <v>19</v>
      </c>
      <c r="I2" s="36" t="s">
        <v>20</v>
      </c>
      <c r="J2" s="36" t="s">
        <v>21</v>
      </c>
      <c r="K2" s="36" t="s">
        <v>22</v>
      </c>
      <c r="L2" s="36">
        <v>123</v>
      </c>
      <c r="M2" s="36" t="s">
        <v>23</v>
      </c>
      <c r="N2" s="40">
        <v>46039</v>
      </c>
      <c r="P2" s="36" t="s">
        <v>24</v>
      </c>
    </row>
  </sheetData>
  <sortState ref="A2:Z2">
    <sortCondition ref="O2"/>
    <sortCondition ref="P2"/>
    <sortCondition ref="F2"/>
  </sortState>
  <conditionalFormatting sqref="B1">
    <cfRule type="duplicateValues" dxfId="0" priority="25"/>
    <cfRule type="duplicateValues" dxfId="0" priority="26"/>
    <cfRule type="duplicateValues" dxfId="0" priority="27"/>
  </conditionalFormatting>
  <dataValidations count="2">
    <dataValidation type="list" allowBlank="1" showInputMessage="1" sqref="J1:J2">
      <formula1>Data_Validation!$A$2:$A$100</formula1>
    </dataValidation>
    <dataValidation type="list" allowBlank="1" showInputMessage="1" sqref="K1:K2">
      <formula1>Data_Validation!$B$2:$B$100</formula1>
    </dataValidation>
  </dataValidations>
  <pageMargins left="0.7" right="0.7" top="0.75" bottom="0.75" header="0.3" footer="0.3"/>
  <pageSetup paperSize="1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R1"/>
  <sheetViews>
    <sheetView zoomScale="90" zoomScaleNormal="90" workbookViewId="0">
      <selection activeCell="C15" sqref="C15"/>
    </sheetView>
  </sheetViews>
  <sheetFormatPr defaultColWidth="9.14166666666667" defaultRowHeight="14.25"/>
  <cols>
    <col min="1" max="1" width="15.7083333333333" style="30" customWidth="1"/>
    <col min="2" max="2" width="10.2833333333333" style="30" customWidth="1"/>
    <col min="3" max="3" width="17.7083333333333" style="30" customWidth="1"/>
    <col min="4" max="4" width="15.7083333333333" style="30" customWidth="1"/>
    <col min="5" max="5" width="33.1416666666667" style="30" customWidth="1"/>
    <col min="6" max="6" width="50.7083333333333" style="30" customWidth="1"/>
    <col min="7" max="7" width="36.2833333333333" style="30" customWidth="1"/>
    <col min="8" max="8" width="29.1416666666667" style="30" customWidth="1"/>
    <col min="9" max="9" width="23.1416666666667" style="30" customWidth="1"/>
    <col min="10" max="10" width="19.8583333333333" style="30" customWidth="1"/>
    <col min="11" max="11" width="65.7083333333333" style="31" customWidth="1"/>
    <col min="12" max="12" width="8.28333333333333" style="30" customWidth="1"/>
    <col min="13" max="13" width="24" style="30" customWidth="1"/>
    <col min="14" max="14" width="13.425" style="30" customWidth="1"/>
    <col min="15" max="15" width="13.1416666666667" style="30" customWidth="1"/>
    <col min="16" max="16" width="14.8583333333333" style="30" customWidth="1"/>
    <col min="17" max="16384" width="9.14166666666667" style="30"/>
  </cols>
  <sheetData>
    <row r="1" s="29" customFormat="1" ht="27" customHeight="1" spans="1:18">
      <c r="A1" s="32" t="s">
        <v>0</v>
      </c>
      <c r="B1" s="32" t="s">
        <v>1</v>
      </c>
      <c r="C1" s="32" t="s">
        <v>2</v>
      </c>
      <c r="D1" s="33" t="s">
        <v>3</v>
      </c>
      <c r="E1" s="32" t="s">
        <v>4</v>
      </c>
      <c r="F1" s="32" t="s">
        <v>5</v>
      </c>
      <c r="G1" s="32" t="s">
        <v>6</v>
      </c>
      <c r="H1" s="32" t="s">
        <v>7</v>
      </c>
      <c r="I1" s="32" t="s">
        <v>8</v>
      </c>
      <c r="J1" s="32" t="s">
        <v>9</v>
      </c>
      <c r="K1" s="34" t="s">
        <v>10</v>
      </c>
      <c r="L1" s="32" t="s">
        <v>11</v>
      </c>
      <c r="M1" s="32" t="s">
        <v>12</v>
      </c>
      <c r="N1" s="33" t="s">
        <v>13</v>
      </c>
      <c r="O1" s="32" t="s">
        <v>14</v>
      </c>
      <c r="P1" s="32" t="s">
        <v>15</v>
      </c>
      <c r="Q1" s="32"/>
      <c r="R1" s="32"/>
    </row>
  </sheetData>
  <conditionalFormatting sqref="B1">
    <cfRule type="duplicateValues" dxfId="0" priority="28"/>
  </conditionalFormatting>
  <dataValidations count="2">
    <dataValidation type="list" allowBlank="1" showInputMessage="1" sqref="J1">
      <formula1>Data_Validation!$A$2:$A$100</formula1>
    </dataValidation>
    <dataValidation type="list" allowBlank="1" showInputMessage="1" sqref="K1">
      <formula1>Data_Validation!$B$2:$B$100</formula1>
    </dataValidation>
  </dataValidations>
  <pageMargins left="0.7" right="0.7" top="0.75" bottom="0.75" header="0.3" footer="0.3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O8"/>
  <sheetViews>
    <sheetView zoomScale="120" zoomScaleNormal="120" workbookViewId="0">
      <selection activeCell="N9" sqref="N9"/>
    </sheetView>
  </sheetViews>
  <sheetFormatPr defaultColWidth="9" defaultRowHeight="14.25" outlineLevelRow="7"/>
  <cols>
    <col min="1" max="2" width="10.5666666666667" customWidth="1"/>
    <col min="3" max="3" width="12.2833333333333" customWidth="1"/>
    <col min="4" max="4" width="12" customWidth="1"/>
    <col min="5" max="5" width="8.85833333333333" customWidth="1"/>
    <col min="6" max="6" width="9.425" customWidth="1"/>
    <col min="7" max="7" width="12.8583333333333" customWidth="1"/>
    <col min="8" max="8" width="3.56666666666667" customWidth="1"/>
    <col min="9" max="9" width="4.28333333333333" customWidth="1"/>
    <col min="12" max="12" width="15.2833333333333" customWidth="1"/>
    <col min="14" max="14" width="15.1416666666667" customWidth="1"/>
    <col min="15" max="15" width="73.425" customWidth="1"/>
  </cols>
  <sheetData>
    <row r="1" ht="15" spans="1:15">
      <c r="A1" s="14" t="s">
        <v>25</v>
      </c>
      <c r="B1" s="14" t="s">
        <v>26</v>
      </c>
      <c r="C1" s="15"/>
      <c r="D1" s="16" t="s">
        <v>27</v>
      </c>
      <c r="E1" s="16" t="s">
        <v>28</v>
      </c>
      <c r="F1" s="16" t="s">
        <v>29</v>
      </c>
      <c r="G1" s="17" t="s">
        <v>30</v>
      </c>
      <c r="H1" s="16" t="s">
        <v>31</v>
      </c>
      <c r="I1" s="16" t="s">
        <v>32</v>
      </c>
      <c r="K1" s="25" t="s">
        <v>33</v>
      </c>
      <c r="L1" s="15"/>
      <c r="N1" s="26" t="s">
        <v>34</v>
      </c>
      <c r="O1" s="27" t="s">
        <v>35</v>
      </c>
    </row>
    <row r="2" ht="15" spans="1:15">
      <c r="A2" s="18" t="s">
        <v>36</v>
      </c>
      <c r="B2" s="18">
        <v>1</v>
      </c>
      <c r="C2" s="1"/>
      <c r="D2" s="19" t="s">
        <v>37</v>
      </c>
      <c r="E2" s="19">
        <v>10</v>
      </c>
      <c r="F2" s="19">
        <v>1</v>
      </c>
      <c r="G2" s="20" t="s">
        <v>38</v>
      </c>
      <c r="H2" s="19" t="s">
        <v>39</v>
      </c>
      <c r="I2" s="28">
        <v>0.1</v>
      </c>
      <c r="K2" s="18">
        <v>90657</v>
      </c>
      <c r="L2" s="19">
        <v>5</v>
      </c>
      <c r="N2" s="26" t="s">
        <v>40</v>
      </c>
      <c r="O2" s="27" t="s">
        <v>41</v>
      </c>
    </row>
    <row r="4" s="2" customFormat="1" ht="15"/>
    <row r="7" ht="15" spans="1:4">
      <c r="A7" s="21" t="s">
        <v>33</v>
      </c>
      <c r="B7" s="22" t="s">
        <v>42</v>
      </c>
      <c r="C7" s="22" t="s">
        <v>43</v>
      </c>
      <c r="D7" s="22" t="s">
        <v>44</v>
      </c>
    </row>
    <row r="8" ht="15" spans="1:4">
      <c r="A8" s="18">
        <v>93306</v>
      </c>
      <c r="B8" s="23" t="str">
        <f>IFERROR(VLOOKUP(A8,Data_Validation!K:M,3,FALSE),"0")</f>
        <v>Z13.6</v>
      </c>
      <c r="C8" s="24" t="b">
        <v>0</v>
      </c>
      <c r="D8" s="23">
        <f>IF(C8=TRUE,0.01,IFERROR(VLOOKUP(A8,Data_Validation!K:L,2,FALSE),"0"))</f>
        <v>325</v>
      </c>
    </row>
  </sheetData>
  <dataValidations count="2">
    <dataValidation type="list" allowBlank="1" showInputMessage="1" showErrorMessage="1" sqref="A8">
      <formula1>Data_Validation!$K$2:$K$17</formula1>
    </dataValidation>
    <dataValidation type="list" allowBlank="1" showInputMessage="1" showErrorMessage="1" sqref="C8">
      <formula1>"True, False"</formula1>
    </dataValidation>
  </dataValidations>
  <hyperlinks>
    <hyperlink ref="O1" r:id="rId2" display="Path\Desktop\Files\Config_Files\NDC.xlsm"/>
    <hyperlink ref="O2" r:id="rId3" display="Path\Desktop\Files\Config_Files\Fee Value.xlsx"/>
  </hyperlinks>
  <pageMargins left="0.7" right="0.7" top="0.75" bottom="0.75" header="0.3" footer="0.3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H2"/>
  <sheetViews>
    <sheetView zoomScale="120" zoomScaleNormal="120" topLeftCell="A3" workbookViewId="0">
      <selection activeCell="C34" sqref="C34"/>
    </sheetView>
  </sheetViews>
  <sheetFormatPr defaultColWidth="9" defaultRowHeight="14.25" outlineLevelRow="1" outlineLevelCol="7"/>
  <cols>
    <col min="1" max="1" width="10.2833333333333" customWidth="1"/>
    <col min="2" max="2" width="11.7083333333333" customWidth="1"/>
    <col min="3" max="3" width="25.425" customWidth="1"/>
    <col min="4" max="4" width="5.70833333333333" customWidth="1"/>
    <col min="5" max="5" width="52.5666666666667" customWidth="1"/>
    <col min="6" max="6" width="10.1416666666667" customWidth="1"/>
    <col min="7" max="7" width="12.425" customWidth="1"/>
    <col min="8" max="8" width="33" customWidth="1"/>
  </cols>
  <sheetData>
    <row r="1" spans="1:8">
      <c r="A1" t="s">
        <v>45</v>
      </c>
      <c r="B1" t="s">
        <v>46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</row>
    <row r="2" spans="2:2">
      <c r="B2" s="13"/>
    </row>
  </sheetData>
  <dataValidations count="3">
    <dataValidation type="list" allowBlank="1" showInputMessage="1" showErrorMessage="1" sqref="A2">
      <formula1>"X-Ray, Echo, US, ECG, Holter"</formula1>
    </dataValidation>
    <dataValidation type="list" allowBlank="1" showInputMessage="1" showErrorMessage="1" sqref="C2">
      <formula1>Data_Validation!$C$2:$C$29</formula1>
    </dataValidation>
    <dataValidation type="list" allowBlank="1" showInputMessage="1" sqref="D2">
      <formula1>"FL, TX"</formula1>
    </dataValidation>
  </dataValidations>
  <pageMargins left="0.7" right="0.7" top="0.75" bottom="0.75" header="0.3" footer="0.3"/>
  <headerFooter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E1"/>
  <sheetViews>
    <sheetView workbookViewId="0">
      <selection activeCell="D3" sqref="D3"/>
    </sheetView>
  </sheetViews>
  <sheetFormatPr defaultColWidth="9" defaultRowHeight="14.25" outlineLevelCol="4"/>
  <cols>
    <col min="1" max="1" width="14.5666666666667" customWidth="1"/>
    <col min="4" max="4" width="10.5666666666667" customWidth="1"/>
    <col min="5" max="5" width="35.1416666666667" customWidth="1"/>
  </cols>
  <sheetData>
    <row r="1" spans="1:5">
      <c r="A1" t="s">
        <v>53</v>
      </c>
      <c r="B1" t="s">
        <v>54</v>
      </c>
      <c r="C1" t="s">
        <v>55</v>
      </c>
      <c r="D1" t="s">
        <v>56</v>
      </c>
      <c r="E1" t="s">
        <v>57</v>
      </c>
    </row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D24"/>
  <sheetViews>
    <sheetView workbookViewId="0">
      <selection activeCell="F30" sqref="F30"/>
    </sheetView>
  </sheetViews>
  <sheetFormatPr defaultColWidth="9" defaultRowHeight="14.25" outlineLevelCol="3"/>
  <cols>
    <col min="1" max="1" width="18.25" style="5" customWidth="1"/>
    <col min="2" max="2" width="10" style="5" customWidth="1"/>
    <col min="3" max="3" width="12.1416666666667" style="5" customWidth="1"/>
    <col min="4" max="4" width="13.1416666666667" style="5" customWidth="1"/>
    <col min="5" max="10" width="9.14166666666667" style="5"/>
    <col min="11" max="11" width="65" style="5" customWidth="1"/>
    <col min="12" max="16384" width="9.14166666666667" style="5"/>
  </cols>
  <sheetData>
    <row r="1" s="4" customFormat="1" ht="15" spans="1:4">
      <c r="A1" s="4" t="s">
        <v>53</v>
      </c>
      <c r="B1" s="4" t="s">
        <v>58</v>
      </c>
      <c r="C1" s="4" t="s">
        <v>59</v>
      </c>
      <c r="D1" s="4" t="s">
        <v>60</v>
      </c>
    </row>
    <row r="2" spans="1:4">
      <c r="A2" s="6">
        <v>45916.7011342593</v>
      </c>
      <c r="B2" s="7">
        <v>98</v>
      </c>
      <c r="C2" s="7">
        <v>3</v>
      </c>
      <c r="D2" s="7">
        <v>0</v>
      </c>
    </row>
    <row r="3" spans="1:4">
      <c r="A3" s="6">
        <v>45917.5436111111</v>
      </c>
      <c r="B3" s="7">
        <v>52</v>
      </c>
      <c r="C3" s="7">
        <v>0</v>
      </c>
      <c r="D3" s="7">
        <v>0</v>
      </c>
    </row>
    <row r="4" spans="1:4">
      <c r="A4" s="6">
        <v>45917.6229398148</v>
      </c>
      <c r="B4" s="7">
        <v>21</v>
      </c>
      <c r="C4" s="7">
        <v>0</v>
      </c>
      <c r="D4" s="7">
        <v>0</v>
      </c>
    </row>
    <row r="5" spans="1:4">
      <c r="A5" s="6">
        <v>45917.6244560185</v>
      </c>
      <c r="B5" s="7">
        <v>73</v>
      </c>
      <c r="C5" s="7">
        <v>0</v>
      </c>
      <c r="D5" s="7">
        <v>0</v>
      </c>
    </row>
    <row r="6" spans="1:4">
      <c r="A6" s="6">
        <v>45918.6341087963</v>
      </c>
      <c r="B6" s="7">
        <v>93</v>
      </c>
      <c r="C6" s="7">
        <v>0</v>
      </c>
      <c r="D6" s="7">
        <v>0</v>
      </c>
    </row>
    <row r="7" spans="1:4">
      <c r="A7" s="6">
        <v>45919.6445023148</v>
      </c>
      <c r="B7" s="7">
        <v>80</v>
      </c>
      <c r="C7" s="7">
        <v>0</v>
      </c>
      <c r="D7" s="7">
        <v>0</v>
      </c>
    </row>
    <row r="8" spans="1:4">
      <c r="A8" s="6">
        <v>45922.672025463</v>
      </c>
      <c r="B8" s="7">
        <v>126</v>
      </c>
      <c r="C8" s="7">
        <v>2</v>
      </c>
      <c r="D8" s="7">
        <v>0</v>
      </c>
    </row>
    <row r="9" spans="1:4">
      <c r="A9" s="6">
        <v>45923.6605555556</v>
      </c>
      <c r="B9" s="7">
        <v>103</v>
      </c>
      <c r="C9" s="7">
        <v>0</v>
      </c>
      <c r="D9" s="7">
        <v>0</v>
      </c>
    </row>
    <row r="10" spans="1:4">
      <c r="A10" s="6">
        <v>45924.6454398148</v>
      </c>
      <c r="B10" s="7">
        <v>69</v>
      </c>
      <c r="C10" s="7">
        <v>1</v>
      </c>
      <c r="D10" s="7">
        <v>0</v>
      </c>
    </row>
    <row r="11" spans="1:4">
      <c r="A11" s="6">
        <v>45925.6805902778</v>
      </c>
      <c r="B11" s="7">
        <v>81</v>
      </c>
      <c r="C11" s="7">
        <v>16</v>
      </c>
      <c r="D11" s="7">
        <v>1</v>
      </c>
    </row>
    <row r="12" spans="1:4">
      <c r="A12" s="6">
        <v>45929.707974537</v>
      </c>
      <c r="B12" s="7">
        <v>118</v>
      </c>
      <c r="C12" s="7">
        <v>34</v>
      </c>
      <c r="D12" s="7">
        <v>0</v>
      </c>
    </row>
    <row r="13" spans="1:4">
      <c r="A13" s="6">
        <v>45930.6110648148</v>
      </c>
      <c r="B13" s="7">
        <v>78</v>
      </c>
      <c r="C13" s="7">
        <v>11</v>
      </c>
      <c r="D13" s="7">
        <v>0</v>
      </c>
    </row>
    <row r="14" ht="15" spans="1:4">
      <c r="A14" s="6">
        <v>45931.6034722222</v>
      </c>
      <c r="B14" s="8">
        <v>79</v>
      </c>
      <c r="C14" s="7">
        <v>1</v>
      </c>
      <c r="D14" s="7">
        <v>0</v>
      </c>
    </row>
    <row r="15" ht="15" spans="1:4">
      <c r="A15" s="9">
        <v>45933.6165625</v>
      </c>
      <c r="B15" s="10">
        <v>66</v>
      </c>
      <c r="C15" s="11">
        <v>39</v>
      </c>
      <c r="D15" s="11">
        <v>0</v>
      </c>
    </row>
    <row r="16" ht="15" spans="1:4">
      <c r="A16" s="6">
        <v>45936.5883912037</v>
      </c>
      <c r="B16" s="8">
        <v>31</v>
      </c>
      <c r="C16" s="7">
        <v>0</v>
      </c>
      <c r="D16" s="7">
        <v>0</v>
      </c>
    </row>
    <row r="17" ht="15" spans="1:4">
      <c r="A17" s="6">
        <v>45937.611412037</v>
      </c>
      <c r="B17" s="8">
        <v>18</v>
      </c>
      <c r="C17" s="7">
        <v>0</v>
      </c>
      <c r="D17" s="7">
        <v>0</v>
      </c>
    </row>
    <row r="18" ht="15" spans="1:4">
      <c r="A18" s="6">
        <v>45938.5368287037</v>
      </c>
      <c r="B18" s="8">
        <v>57</v>
      </c>
      <c r="C18" s="7">
        <v>1</v>
      </c>
      <c r="D18" s="7">
        <v>0</v>
      </c>
    </row>
    <row r="19" ht="15" spans="1:4">
      <c r="A19" s="6">
        <v>45939.6421180556</v>
      </c>
      <c r="B19" s="8">
        <v>26</v>
      </c>
      <c r="C19" s="7">
        <v>1</v>
      </c>
      <c r="D19" s="7">
        <v>0</v>
      </c>
    </row>
    <row r="20" spans="1:4">
      <c r="A20" s="6">
        <v>45940.5812731481</v>
      </c>
      <c r="B20" s="7">
        <v>29</v>
      </c>
      <c r="C20" s="7">
        <v>0</v>
      </c>
      <c r="D20" s="7">
        <v>0</v>
      </c>
    </row>
    <row r="21" spans="1:4">
      <c r="A21" s="6">
        <v>45943.5125578704</v>
      </c>
      <c r="B21" s="7">
        <v>19</v>
      </c>
      <c r="C21" s="7">
        <v>2</v>
      </c>
      <c r="D21" s="7">
        <v>0</v>
      </c>
    </row>
    <row r="22" spans="1:4">
      <c r="A22" s="6">
        <v>45944.5260532407</v>
      </c>
      <c r="B22" s="7">
        <v>10</v>
      </c>
      <c r="C22" s="7">
        <v>0</v>
      </c>
      <c r="D22" s="7">
        <v>0</v>
      </c>
    </row>
    <row r="23" spans="1:4">
      <c r="A23" s="12">
        <v>45945.5301736111</v>
      </c>
      <c r="B23" s="5">
        <v>19</v>
      </c>
      <c r="C23" s="5">
        <v>0</v>
      </c>
      <c r="D23" s="5">
        <v>0</v>
      </c>
    </row>
    <row r="24" spans="1:4">
      <c r="A24" s="12">
        <v>46039.9703935185</v>
      </c>
      <c r="B24" s="5">
        <v>1</v>
      </c>
      <c r="C24" s="5">
        <v>0</v>
      </c>
      <c r="D24" s="5">
        <v>0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M57"/>
  <sheetViews>
    <sheetView topLeftCell="A10" workbookViewId="0">
      <selection activeCell="B4" sqref="B4"/>
    </sheetView>
  </sheetViews>
  <sheetFormatPr defaultColWidth="9" defaultRowHeight="14.25"/>
  <cols>
    <col min="1" max="1" width="30.1416666666667" customWidth="1"/>
    <col min="2" max="2" width="73.8583333333333" customWidth="1"/>
    <col min="3" max="3" width="20" customWidth="1"/>
    <col min="4" max="4" width="23.1416666666667" customWidth="1"/>
    <col min="5" max="5" width="50.5666666666667" customWidth="1"/>
    <col min="6" max="6" width="36.8583333333333" customWidth="1"/>
    <col min="7" max="7" width="22.8583333333333" customWidth="1"/>
    <col min="8" max="8" width="6" customWidth="1"/>
    <col min="9" max="9" width="8.28333333333333" customWidth="1"/>
    <col min="11" max="11" width="7.85833333333333" style="1" customWidth="1"/>
    <col min="12" max="12" width="6.425" style="1" customWidth="1"/>
    <col min="13" max="13" width="12.7083333333333" style="1" customWidth="1"/>
  </cols>
  <sheetData>
    <row r="1" ht="15" spans="1:13">
      <c r="A1" s="2" t="s">
        <v>61</v>
      </c>
      <c r="B1" s="2" t="s">
        <v>62</v>
      </c>
      <c r="C1" s="2" t="s">
        <v>63</v>
      </c>
      <c r="D1" s="2" t="s">
        <v>47</v>
      </c>
      <c r="E1" s="2" t="s">
        <v>64</v>
      </c>
      <c r="F1" s="2" t="s">
        <v>65</v>
      </c>
      <c r="G1" s="2" t="s">
        <v>66</v>
      </c>
      <c r="H1" s="2" t="s">
        <v>67</v>
      </c>
      <c r="I1" s="2" t="s">
        <v>68</v>
      </c>
      <c r="K1" s="3" t="s">
        <v>33</v>
      </c>
      <c r="L1" s="3" t="s">
        <v>44</v>
      </c>
      <c r="M1" s="3" t="s">
        <v>69</v>
      </c>
    </row>
    <row r="2" spans="1:13">
      <c r="A2" t="s">
        <v>70</v>
      </c>
      <c r="B2" t="s">
        <v>59</v>
      </c>
      <c r="C2" t="s">
        <v>71</v>
      </c>
      <c r="D2" t="s">
        <v>72</v>
      </c>
      <c r="E2" t="s">
        <v>73</v>
      </c>
      <c r="F2" t="s">
        <v>74</v>
      </c>
      <c r="G2" t="s">
        <v>75</v>
      </c>
      <c r="H2">
        <v>40</v>
      </c>
      <c r="I2" t="s">
        <v>76</v>
      </c>
      <c r="K2" s="1">
        <v>93306</v>
      </c>
      <c r="L2" s="1">
        <v>325</v>
      </c>
      <c r="M2" s="1" t="s">
        <v>77</v>
      </c>
    </row>
    <row r="3" spans="1:13">
      <c r="A3" t="s">
        <v>78</v>
      </c>
      <c r="C3" t="s">
        <v>79</v>
      </c>
      <c r="D3" t="s">
        <v>80</v>
      </c>
      <c r="E3" t="s">
        <v>81</v>
      </c>
      <c r="F3" t="s">
        <v>82</v>
      </c>
      <c r="G3" t="s">
        <v>83</v>
      </c>
      <c r="H3">
        <v>25</v>
      </c>
      <c r="I3" t="s">
        <v>76</v>
      </c>
      <c r="K3" s="1">
        <v>93307</v>
      </c>
      <c r="L3" s="1">
        <v>225</v>
      </c>
      <c r="M3" s="1" t="s">
        <v>77</v>
      </c>
    </row>
    <row r="4" spans="1:13">
      <c r="A4" t="s">
        <v>84</v>
      </c>
      <c r="C4" t="s">
        <v>85</v>
      </c>
      <c r="D4" t="s">
        <v>86</v>
      </c>
      <c r="E4" t="s">
        <v>87</v>
      </c>
      <c r="F4" t="s">
        <v>88</v>
      </c>
      <c r="G4" t="s">
        <v>89</v>
      </c>
      <c r="H4">
        <v>10.45</v>
      </c>
      <c r="I4" t="s">
        <v>76</v>
      </c>
      <c r="K4" s="1">
        <v>93308</v>
      </c>
      <c r="L4" s="1">
        <v>165</v>
      </c>
      <c r="M4" s="1" t="s">
        <v>77</v>
      </c>
    </row>
    <row r="5" spans="1:13">
      <c r="A5" t="s">
        <v>90</v>
      </c>
      <c r="C5" t="s">
        <v>91</v>
      </c>
      <c r="D5" t="s">
        <v>92</v>
      </c>
      <c r="E5" t="s">
        <v>93</v>
      </c>
      <c r="F5" t="s">
        <v>94</v>
      </c>
      <c r="G5" t="s">
        <v>95</v>
      </c>
      <c r="H5">
        <v>10</v>
      </c>
      <c r="I5" t="s">
        <v>76</v>
      </c>
      <c r="K5" s="1">
        <v>93245</v>
      </c>
      <c r="L5" s="1">
        <v>25</v>
      </c>
      <c r="M5" s="1" t="s">
        <v>77</v>
      </c>
    </row>
    <row r="6" spans="1:13">
      <c r="A6" t="s">
        <v>96</v>
      </c>
      <c r="C6" t="s">
        <v>97</v>
      </c>
      <c r="D6" t="s">
        <v>98</v>
      </c>
      <c r="E6" t="s">
        <v>99</v>
      </c>
      <c r="F6" t="s">
        <v>100</v>
      </c>
      <c r="G6" t="s">
        <v>101</v>
      </c>
      <c r="H6">
        <v>25</v>
      </c>
      <c r="I6" t="s">
        <v>76</v>
      </c>
      <c r="K6" s="1">
        <v>93247</v>
      </c>
      <c r="L6" s="1">
        <v>380</v>
      </c>
      <c r="M6" s="1" t="s">
        <v>77</v>
      </c>
    </row>
    <row r="7" spans="1:13">
      <c r="A7" t="s">
        <v>102</v>
      </c>
      <c r="C7" t="s">
        <v>103</v>
      </c>
      <c r="D7" t="s">
        <v>104</v>
      </c>
      <c r="E7" t="s">
        <v>105</v>
      </c>
      <c r="F7" t="s">
        <v>106</v>
      </c>
      <c r="G7" t="s">
        <v>75</v>
      </c>
      <c r="H7">
        <v>40</v>
      </c>
      <c r="I7" t="s">
        <v>76</v>
      </c>
      <c r="K7" s="1">
        <v>94010</v>
      </c>
      <c r="L7" s="1">
        <v>50</v>
      </c>
      <c r="M7" s="1" t="s">
        <v>107</v>
      </c>
    </row>
    <row r="8" spans="1:13">
      <c r="A8" t="s">
        <v>108</v>
      </c>
      <c r="C8" t="s">
        <v>109</v>
      </c>
      <c r="D8" t="s">
        <v>110</v>
      </c>
      <c r="E8" t="s">
        <v>111</v>
      </c>
      <c r="F8" t="s">
        <v>112</v>
      </c>
      <c r="G8" t="s">
        <v>113</v>
      </c>
      <c r="H8">
        <v>10</v>
      </c>
      <c r="I8" t="s">
        <v>76</v>
      </c>
      <c r="K8" s="1">
        <v>94060</v>
      </c>
      <c r="L8" s="1">
        <v>65</v>
      </c>
      <c r="M8" s="1" t="s">
        <v>107</v>
      </c>
    </row>
    <row r="9" spans="1:13">
      <c r="A9" t="s">
        <v>114</v>
      </c>
      <c r="C9" t="s">
        <v>115</v>
      </c>
      <c r="D9" t="s">
        <v>116</v>
      </c>
      <c r="E9" t="s">
        <v>117</v>
      </c>
      <c r="F9" t="s">
        <v>118</v>
      </c>
      <c r="G9" t="s">
        <v>119</v>
      </c>
      <c r="H9">
        <v>20</v>
      </c>
      <c r="I9" t="s">
        <v>76</v>
      </c>
      <c r="K9" s="1">
        <v>94640</v>
      </c>
      <c r="L9" s="1">
        <v>15</v>
      </c>
      <c r="M9" s="1" t="s">
        <v>107</v>
      </c>
    </row>
    <row r="10" spans="1:13">
      <c r="A10" t="s">
        <v>120</v>
      </c>
      <c r="C10" t="s">
        <v>121</v>
      </c>
      <c r="D10" t="s">
        <v>122</v>
      </c>
      <c r="E10" t="s">
        <v>123</v>
      </c>
      <c r="F10" t="s">
        <v>124</v>
      </c>
      <c r="G10" t="s">
        <v>75</v>
      </c>
      <c r="H10">
        <v>50</v>
      </c>
      <c r="I10" t="s">
        <v>76</v>
      </c>
      <c r="K10" s="1" t="s">
        <v>125</v>
      </c>
      <c r="L10" s="1">
        <v>35</v>
      </c>
      <c r="M10" s="1" t="s">
        <v>126</v>
      </c>
    </row>
    <row r="11" spans="1:13">
      <c r="A11" t="s">
        <v>127</v>
      </c>
      <c r="C11" t="s">
        <v>128</v>
      </c>
      <c r="D11" t="s">
        <v>129</v>
      </c>
      <c r="E11" t="s">
        <v>130</v>
      </c>
      <c r="K11" s="1" t="s">
        <v>131</v>
      </c>
      <c r="L11" s="1">
        <v>45</v>
      </c>
      <c r="M11" s="1" t="s">
        <v>126</v>
      </c>
    </row>
    <row r="12" spans="1:13">
      <c r="A12" t="s">
        <v>132</v>
      </c>
      <c r="C12" t="s">
        <v>133</v>
      </c>
      <c r="D12" t="s">
        <v>134</v>
      </c>
      <c r="E12" t="s">
        <v>135</v>
      </c>
      <c r="K12" s="1">
        <v>99409</v>
      </c>
      <c r="L12" s="1">
        <v>105</v>
      </c>
      <c r="M12" s="1" t="s">
        <v>126</v>
      </c>
    </row>
    <row r="13" spans="1:13">
      <c r="A13" t="s">
        <v>136</v>
      </c>
      <c r="C13" t="s">
        <v>137</v>
      </c>
      <c r="D13" t="s">
        <v>138</v>
      </c>
      <c r="E13" t="s">
        <v>139</v>
      </c>
      <c r="K13" s="1">
        <v>99483</v>
      </c>
      <c r="L13" s="1">
        <v>465</v>
      </c>
      <c r="M13" s="1" t="s">
        <v>140</v>
      </c>
    </row>
    <row r="14" spans="1:13">
      <c r="A14" t="s">
        <v>141</v>
      </c>
      <c r="C14" t="s">
        <v>142</v>
      </c>
      <c r="D14" t="s">
        <v>143</v>
      </c>
      <c r="E14" t="s">
        <v>144</v>
      </c>
      <c r="K14" s="1" t="s">
        <v>145</v>
      </c>
      <c r="L14" s="1">
        <v>35</v>
      </c>
      <c r="M14" s="1" t="s">
        <v>146</v>
      </c>
    </row>
    <row r="15" spans="1:13">
      <c r="A15" t="s">
        <v>147</v>
      </c>
      <c r="C15" t="s">
        <v>148</v>
      </c>
      <c r="D15" t="s">
        <v>149</v>
      </c>
      <c r="E15" t="s">
        <v>150</v>
      </c>
      <c r="K15" s="1">
        <v>96127</v>
      </c>
      <c r="L15" s="1">
        <v>10</v>
      </c>
      <c r="M15" s="1" t="s">
        <v>146</v>
      </c>
    </row>
    <row r="16" spans="1:13">
      <c r="A16" t="s">
        <v>151</v>
      </c>
      <c r="C16" t="s">
        <v>152</v>
      </c>
      <c r="D16" t="s">
        <v>153</v>
      </c>
      <c r="E16" t="s">
        <v>154</v>
      </c>
      <c r="K16" s="1">
        <v>95907</v>
      </c>
      <c r="L16" s="1">
        <v>155</v>
      </c>
      <c r="M16" s="1" t="s">
        <v>140</v>
      </c>
    </row>
    <row r="17" spans="1:13">
      <c r="A17" t="s">
        <v>155</v>
      </c>
      <c r="C17" t="s">
        <v>156</v>
      </c>
      <c r="D17" t="s">
        <v>157</v>
      </c>
      <c r="E17" t="s">
        <v>158</v>
      </c>
      <c r="K17" s="1">
        <v>95908</v>
      </c>
      <c r="L17" s="1">
        <v>190</v>
      </c>
      <c r="M17" s="1" t="s">
        <v>140</v>
      </c>
    </row>
    <row r="18" spans="1:5">
      <c r="A18" t="s">
        <v>159</v>
      </c>
      <c r="C18" t="s">
        <v>160</v>
      </c>
      <c r="D18" t="s">
        <v>161</v>
      </c>
      <c r="E18" t="s">
        <v>162</v>
      </c>
    </row>
    <row r="19" spans="1:5">
      <c r="A19" t="s">
        <v>163</v>
      </c>
      <c r="C19" t="s">
        <v>164</v>
      </c>
      <c r="D19" t="s">
        <v>165</v>
      </c>
      <c r="E19" t="s">
        <v>166</v>
      </c>
    </row>
    <row r="20" spans="1:5">
      <c r="A20" t="s">
        <v>167</v>
      </c>
      <c r="C20" t="s">
        <v>168</v>
      </c>
      <c r="D20" t="s">
        <v>169</v>
      </c>
      <c r="E20" t="s">
        <v>170</v>
      </c>
    </row>
    <row r="21" spans="1:5">
      <c r="A21" t="s">
        <v>171</v>
      </c>
      <c r="C21" t="s">
        <v>172</v>
      </c>
      <c r="D21" t="s">
        <v>173</v>
      </c>
      <c r="E21" t="s">
        <v>174</v>
      </c>
    </row>
    <row r="22" spans="1:5">
      <c r="A22" t="s">
        <v>175</v>
      </c>
      <c r="C22" t="s">
        <v>176</v>
      </c>
      <c r="D22" t="s">
        <v>177</v>
      </c>
      <c r="E22" t="s">
        <v>178</v>
      </c>
    </row>
    <row r="23" spans="1:5">
      <c r="A23" t="s">
        <v>179</v>
      </c>
      <c r="C23" t="s">
        <v>180</v>
      </c>
      <c r="D23" t="s">
        <v>181</v>
      </c>
      <c r="E23" t="s">
        <v>182</v>
      </c>
    </row>
    <row r="24" spans="1:5">
      <c r="A24" t="s">
        <v>183</v>
      </c>
      <c r="C24" t="s">
        <v>184</v>
      </c>
      <c r="D24" t="s">
        <v>185</v>
      </c>
      <c r="E24" t="s">
        <v>186</v>
      </c>
    </row>
    <row r="25" spans="1:5">
      <c r="A25" t="s">
        <v>187</v>
      </c>
      <c r="C25" t="s">
        <v>188</v>
      </c>
      <c r="D25" t="s">
        <v>189</v>
      </c>
      <c r="E25" t="s">
        <v>190</v>
      </c>
    </row>
    <row r="26" spans="1:5">
      <c r="A26" t="s">
        <v>191</v>
      </c>
      <c r="C26" t="s">
        <v>192</v>
      </c>
      <c r="D26" t="s">
        <v>193</v>
      </c>
      <c r="E26" t="s">
        <v>194</v>
      </c>
    </row>
    <row r="27" spans="1:5">
      <c r="A27" t="s">
        <v>195</v>
      </c>
      <c r="C27" t="s">
        <v>196</v>
      </c>
      <c r="D27" t="s">
        <v>197</v>
      </c>
      <c r="E27" t="s">
        <v>198</v>
      </c>
    </row>
    <row r="28" spans="1:5">
      <c r="A28" t="s">
        <v>199</v>
      </c>
      <c r="C28" t="s">
        <v>200</v>
      </c>
      <c r="D28" t="s">
        <v>201</v>
      </c>
      <c r="E28" t="s">
        <v>202</v>
      </c>
    </row>
    <row r="29" spans="1:5">
      <c r="A29" t="s">
        <v>203</v>
      </c>
      <c r="C29" t="s">
        <v>204</v>
      </c>
      <c r="D29" t="s">
        <v>205</v>
      </c>
      <c r="E29" t="s">
        <v>206</v>
      </c>
    </row>
    <row r="30" spans="1:5">
      <c r="A30" t="s">
        <v>207</v>
      </c>
      <c r="D30" t="s">
        <v>208</v>
      </c>
      <c r="E30" t="s">
        <v>209</v>
      </c>
    </row>
    <row r="31" spans="1:5">
      <c r="A31" t="s">
        <v>210</v>
      </c>
      <c r="D31" t="s">
        <v>211</v>
      </c>
      <c r="E31" t="s">
        <v>212</v>
      </c>
    </row>
    <row r="32" spans="1:5">
      <c r="A32" t="s">
        <v>213</v>
      </c>
      <c r="D32" t="s">
        <v>214</v>
      </c>
      <c r="E32" t="s">
        <v>215</v>
      </c>
    </row>
    <row r="33" spans="1:5">
      <c r="A33" t="s">
        <v>216</v>
      </c>
      <c r="D33" t="s">
        <v>217</v>
      </c>
      <c r="E33" t="s">
        <v>218</v>
      </c>
    </row>
    <row r="34" spans="1:5">
      <c r="A34" t="s">
        <v>219</v>
      </c>
      <c r="D34" t="s">
        <v>220</v>
      </c>
      <c r="E34" t="s">
        <v>221</v>
      </c>
    </row>
    <row r="35" spans="1:5">
      <c r="A35" t="s">
        <v>222</v>
      </c>
      <c r="D35" t="s">
        <v>223</v>
      </c>
      <c r="E35" t="s">
        <v>224</v>
      </c>
    </row>
    <row r="36" spans="4:5">
      <c r="D36" t="s">
        <v>225</v>
      </c>
      <c r="E36" t="s">
        <v>226</v>
      </c>
    </row>
    <row r="37" spans="4:5">
      <c r="D37" t="s">
        <v>227</v>
      </c>
      <c r="E37" t="s">
        <v>228</v>
      </c>
    </row>
    <row r="38" spans="4:5">
      <c r="D38" t="s">
        <v>229</v>
      </c>
      <c r="E38" t="s">
        <v>230</v>
      </c>
    </row>
    <row r="39" spans="4:5">
      <c r="D39" t="s">
        <v>231</v>
      </c>
      <c r="E39" t="s">
        <v>232</v>
      </c>
    </row>
    <row r="40" spans="4:5">
      <c r="D40" t="s">
        <v>233</v>
      </c>
      <c r="E40" t="s">
        <v>234</v>
      </c>
    </row>
    <row r="41" spans="4:5">
      <c r="D41" t="s">
        <v>235</v>
      </c>
      <c r="E41" t="s">
        <v>236</v>
      </c>
    </row>
    <row r="42" spans="4:5">
      <c r="D42" t="s">
        <v>237</v>
      </c>
      <c r="E42" t="s">
        <v>238</v>
      </c>
    </row>
    <row r="43" spans="4:5">
      <c r="D43" t="s">
        <v>239</v>
      </c>
      <c r="E43" t="s">
        <v>240</v>
      </c>
    </row>
    <row r="44" spans="4:5">
      <c r="D44" t="s">
        <v>241</v>
      </c>
      <c r="E44" t="s">
        <v>242</v>
      </c>
    </row>
    <row r="45" spans="4:5">
      <c r="D45" t="s">
        <v>243</v>
      </c>
      <c r="E45" t="s">
        <v>244</v>
      </c>
    </row>
    <row r="46" spans="4:5">
      <c r="D46" t="s">
        <v>245</v>
      </c>
      <c r="E46" t="s">
        <v>246</v>
      </c>
    </row>
    <row r="47" spans="4:5">
      <c r="D47" t="s">
        <v>247</v>
      </c>
      <c r="E47" t="s">
        <v>248</v>
      </c>
    </row>
    <row r="48" spans="4:5">
      <c r="D48" t="s">
        <v>249</v>
      </c>
      <c r="E48" t="s">
        <v>250</v>
      </c>
    </row>
    <row r="49" spans="4:5">
      <c r="D49" t="s">
        <v>251</v>
      </c>
      <c r="E49" t="s">
        <v>252</v>
      </c>
    </row>
    <row r="50" spans="4:5">
      <c r="D50" t="s">
        <v>253</v>
      </c>
      <c r="E50" t="s">
        <v>254</v>
      </c>
    </row>
    <row r="51" spans="4:5">
      <c r="D51" t="s">
        <v>255</v>
      </c>
      <c r="E51" t="s">
        <v>256</v>
      </c>
    </row>
    <row r="52" spans="4:5">
      <c r="D52" t="s">
        <v>257</v>
      </c>
      <c r="E52" t="s">
        <v>258</v>
      </c>
    </row>
    <row r="53" spans="4:5">
      <c r="D53" t="s">
        <v>259</v>
      </c>
      <c r="E53" t="s">
        <v>260</v>
      </c>
    </row>
    <row r="54" spans="4:5">
      <c r="D54" t="s">
        <v>261</v>
      </c>
      <c r="E54" t="s">
        <v>262</v>
      </c>
    </row>
    <row r="55" spans="4:5">
      <c r="D55" t="s">
        <v>263</v>
      </c>
      <c r="E55" t="s">
        <v>264</v>
      </c>
    </row>
    <row r="56" spans="4:5">
      <c r="D56" t="s">
        <v>265</v>
      </c>
      <c r="E56" t="s">
        <v>266</v>
      </c>
    </row>
    <row r="57" spans="4:5">
      <c r="D57" t="s">
        <v>267</v>
      </c>
      <c r="E57" t="s">
        <v>268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HUmana Inc</Company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Priority</vt:lpstr>
      <vt:lpstr>Regular</vt:lpstr>
      <vt:lpstr>Find_Info</vt:lpstr>
      <vt:lpstr>DI_Info_Find</vt:lpstr>
      <vt:lpstr>DI_Logs</vt:lpstr>
      <vt:lpstr>Count_Log</vt:lpstr>
      <vt:lpstr>Data_Validation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 PRAKASH</dc:creator>
  <cp:lastModifiedBy>om</cp:lastModifiedBy>
  <dcterms:created xsi:type="dcterms:W3CDTF">2025-07-15T12:30:00Z</dcterms:created>
  <dcterms:modified xsi:type="dcterms:W3CDTF">2026-01-26T16:35:54Z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2b6c078-73cb-4371-8a5b-e9fc18accbf8_Enabled">
    <vt:lpwstr>true</vt:lpwstr>
  </property>
  <property fmtid="{D5CDD505-2E9C-101B-9397-08002B2CF9AE}" pid="3" name="MSIP_Label_e2b6c078-73cb-4371-8a5b-e9fc18accbf8_SetDate">
    <vt:lpwstr>2025-07-15T12:30:33Z</vt:lpwstr>
  </property>
  <property fmtid="{D5CDD505-2E9C-101B-9397-08002B2CF9AE}" pid="4" name="MSIP_Label_e2b6c078-73cb-4371-8a5b-e9fc18accbf8_Method">
    <vt:lpwstr>Standard</vt:lpwstr>
  </property>
  <property fmtid="{D5CDD505-2E9C-101B-9397-08002B2CF9AE}" pid="5" name="MSIP_Label_e2b6c078-73cb-4371-8a5b-e9fc18accbf8_Name">
    <vt:lpwstr>INTERNAL</vt:lpwstr>
  </property>
  <property fmtid="{D5CDD505-2E9C-101B-9397-08002B2CF9AE}" pid="6" name="MSIP_Label_e2b6c078-73cb-4371-8a5b-e9fc18accbf8_SiteId">
    <vt:lpwstr>56c62bbe-8598-4b85-9e51-1ca753fa50f2</vt:lpwstr>
  </property>
  <property fmtid="{D5CDD505-2E9C-101B-9397-08002B2CF9AE}" pid="7" name="MSIP_Label_e2b6c078-73cb-4371-8a5b-e9fc18accbf8_ActionId">
    <vt:lpwstr>959d924c-7f7c-4e0d-8e20-c170fdec5516</vt:lpwstr>
  </property>
  <property fmtid="{D5CDD505-2E9C-101B-9397-08002B2CF9AE}" pid="8" name="MSIP_Label_e2b6c078-73cb-4371-8a5b-e9fc18accbf8_ContentBits">
    <vt:lpwstr>0</vt:lpwstr>
  </property>
  <property fmtid="{D5CDD505-2E9C-101B-9397-08002B2CF9AE}" pid="9" name="MSIP_Label_e2b6c078-73cb-4371-8a5b-e9fc18accbf8_Tag">
    <vt:lpwstr>10, 3, 0, 1</vt:lpwstr>
  </property>
  <property fmtid="{D5CDD505-2E9C-101B-9397-08002B2CF9AE}" pid="10" name="ICV">
    <vt:lpwstr>611EEBCB6ADC4AC596E54D59DB8A48CC_12</vt:lpwstr>
  </property>
  <property fmtid="{D5CDD505-2E9C-101B-9397-08002B2CF9AE}" pid="11" name="KSOProductBuildVer">
    <vt:lpwstr>1033-12.2.0.23196</vt:lpwstr>
  </property>
</Properties>
</file>