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8800" windowHeight="12180"/>
  </bookViews>
  <sheets>
    <sheet name="Sheet1" sheetId="1" r:id="rId1"/>
  </sheets>
  <definedNames>
    <definedName name="_xlnm._FilterDatabase" localSheetId="0" hidden="1">Sheet1!$A$1:$K$158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<sst xmlns="http://schemas.openxmlformats.org/spreadsheetml/2006/main" count="776" uniqueCount="565">
  <si>
    <t>S.No</t>
  </si>
  <si>
    <t>Drug code</t>
  </si>
  <si>
    <t>Description</t>
  </si>
  <si>
    <t>Quantity</t>
  </si>
  <si>
    <t>NDC Number</t>
  </si>
  <si>
    <t>CPS Unit</t>
  </si>
  <si>
    <t>NDC Unit</t>
  </si>
  <si>
    <t>CODE</t>
  </si>
  <si>
    <t>Q</t>
  </si>
  <si>
    <t>Fee value</t>
  </si>
  <si>
    <t>Cal</t>
  </si>
  <si>
    <t>PPD</t>
  </si>
  <si>
    <t>42023-0104-01</t>
  </si>
  <si>
    <t>42023010401</t>
  </si>
  <si>
    <t>ML</t>
  </si>
  <si>
    <t>58160-0823-11</t>
  </si>
  <si>
    <t>58160082311</t>
  </si>
  <si>
    <t>Havrix</t>
  </si>
  <si>
    <t>58160-826-52</t>
  </si>
  <si>
    <t>58160082652</t>
  </si>
  <si>
    <t>Fluvirin</t>
  </si>
  <si>
    <t>70461-119-10</t>
  </si>
  <si>
    <t>70461011910</t>
  </si>
  <si>
    <t>Flucelvax</t>
  </si>
  <si>
    <t>49281-0122-65</t>
  </si>
  <si>
    <t>49281012265</t>
  </si>
  <si>
    <t>Prevnar 13</t>
  </si>
  <si>
    <t>0005-1971-05</t>
  </si>
  <si>
    <t>00005197105</t>
  </si>
  <si>
    <t>70461-0322-03</t>
  </si>
  <si>
    <t>70461032203</t>
  </si>
  <si>
    <t>00005-2000-10</t>
  </si>
  <si>
    <t>00005200010</t>
  </si>
  <si>
    <t>AFLURIA</t>
  </si>
  <si>
    <t>33332-317-01</t>
  </si>
  <si>
    <t>33332031701</t>
  </si>
  <si>
    <t>33332-417-10</t>
  </si>
  <si>
    <t>33332041710</t>
  </si>
  <si>
    <t>Typhoid Vi Polysaccharide</t>
  </si>
  <si>
    <t>49281-790-51</t>
  </si>
  <si>
    <t>49281079051</t>
  </si>
  <si>
    <t>70461-0122-03</t>
  </si>
  <si>
    <t>70461012203</t>
  </si>
  <si>
    <t>Tetans And Diptheria Toxoids (Td)</t>
  </si>
  <si>
    <t>13533-131-00</t>
  </si>
  <si>
    <t>13533013100</t>
  </si>
  <si>
    <t>Toxoid</t>
  </si>
  <si>
    <t>49281-0400-88</t>
  </si>
  <si>
    <t>49281040088</t>
  </si>
  <si>
    <t>YF-VAX</t>
  </si>
  <si>
    <t>49281-915-01</t>
  </si>
  <si>
    <t>49281091501</t>
  </si>
  <si>
    <t>Pneumococcal Vaccine</t>
  </si>
  <si>
    <t>0006-4837-01</t>
  </si>
  <si>
    <t>00006483701</t>
  </si>
  <si>
    <t>Hepatitis B Vaccine (Recombinant)</t>
  </si>
  <si>
    <t>0006-4995-41</t>
  </si>
  <si>
    <t>00006499541</t>
  </si>
  <si>
    <t>Flucelvax Quadrivalent (Multi-Dose Vial)</t>
  </si>
  <si>
    <t>70461-0422-11</t>
  </si>
  <si>
    <t>70461042211</t>
  </si>
  <si>
    <t>J0135</t>
  </si>
  <si>
    <t>Humira Pen - Pbom</t>
  </si>
  <si>
    <t>0074-4339-02</t>
  </si>
  <si>
    <t>00074433902</t>
  </si>
  <si>
    <t>J0171</t>
  </si>
  <si>
    <t>Epinephrine</t>
  </si>
  <si>
    <t>1.0 mg</t>
  </si>
  <si>
    <t>0409-7241-01</t>
  </si>
  <si>
    <t>00409724101</t>
  </si>
  <si>
    <t>J0360</t>
  </si>
  <si>
    <t>Hydralazine Hydrochloride</t>
  </si>
  <si>
    <t>20MG</t>
  </si>
  <si>
    <t>63323-614-01</t>
  </si>
  <si>
    <t>63323061401</t>
  </si>
  <si>
    <t>J0401</t>
  </si>
  <si>
    <t xml:space="preserve">ABILIFY MAINTENA (ARIPIPRAZOLE) </t>
  </si>
  <si>
    <t>400 mg</t>
  </si>
  <si>
    <t>59148-072-80</t>
  </si>
  <si>
    <t>59148007280</t>
  </si>
  <si>
    <t>J0456</t>
  </si>
  <si>
    <t>Azithromycin</t>
  </si>
  <si>
    <t>500 mg</t>
  </si>
  <si>
    <t>60505-6076-4</t>
  </si>
  <si>
    <t>60505607604</t>
  </si>
  <si>
    <t>J0517</t>
  </si>
  <si>
    <t>Fasenra (Benralizumab)</t>
  </si>
  <si>
    <t>30MG</t>
  </si>
  <si>
    <t>0310-1730-30</t>
  </si>
  <si>
    <t>00310173030</t>
  </si>
  <si>
    <t>J0561</t>
  </si>
  <si>
    <t>BICILLIN</t>
  </si>
  <si>
    <t>60793-701-02</t>
  </si>
  <si>
    <t>60793070102</t>
  </si>
  <si>
    <t>J0690</t>
  </si>
  <si>
    <t xml:space="preserve">Cefazolin </t>
  </si>
  <si>
    <t>0143-9924-90</t>
  </si>
  <si>
    <t>00143992490</t>
  </si>
  <si>
    <t>J0692</t>
  </si>
  <si>
    <t>Cefepime</t>
  </si>
  <si>
    <t>500MG</t>
  </si>
  <si>
    <t>44567-240-10</t>
  </si>
  <si>
    <t>44567024010</t>
  </si>
  <si>
    <t>J0696</t>
  </si>
  <si>
    <t>Ceftriaxone</t>
  </si>
  <si>
    <t>1000 mg</t>
  </si>
  <si>
    <t>68180-633-10</t>
  </si>
  <si>
    <t>68180063310</t>
  </si>
  <si>
    <t>GR</t>
  </si>
  <si>
    <t>J0702</t>
  </si>
  <si>
    <t>Betamethasone Sodium Phosphate(Celestone)</t>
  </si>
  <si>
    <t>3 mg</t>
  </si>
  <si>
    <t>0517-0720-01</t>
  </si>
  <si>
    <t>00517072001</t>
  </si>
  <si>
    <t>J0706</t>
  </si>
  <si>
    <t xml:space="preserve"> Ciprofloxacin</t>
  </si>
  <si>
    <t>5MG</t>
  </si>
  <si>
    <t>0409-4777-02</t>
  </si>
  <si>
    <t>00409477702</t>
  </si>
  <si>
    <t>J0735</t>
  </si>
  <si>
    <t>Clonidine Hydrochloride</t>
  </si>
  <si>
    <t>1 mg</t>
  </si>
  <si>
    <t>0228-2127-10</t>
  </si>
  <si>
    <t>00228212710</t>
  </si>
  <si>
    <t>J0744</t>
  </si>
  <si>
    <t>400MG</t>
  </si>
  <si>
    <t>J0885</t>
  </si>
  <si>
    <t>Procit</t>
  </si>
  <si>
    <t>40,000 Units</t>
  </si>
  <si>
    <t>59676-340-00</t>
  </si>
  <si>
    <t>59676034000</t>
  </si>
  <si>
    <t>J0897</t>
  </si>
  <si>
    <t>Prolia</t>
  </si>
  <si>
    <t>60 mg</t>
  </si>
  <si>
    <t>55513-710-01</t>
  </si>
  <si>
    <t>55513071001</t>
  </si>
  <si>
    <t>J1030</t>
  </si>
  <si>
    <t>Depomedrol</t>
  </si>
  <si>
    <t>40 mg</t>
  </si>
  <si>
    <t>0009-0280-03</t>
  </si>
  <si>
    <t>00009028003</t>
  </si>
  <si>
    <t>J1040</t>
  </si>
  <si>
    <t>80 mg</t>
  </si>
  <si>
    <t>0009-0306-02</t>
  </si>
  <si>
    <t>00009030602</t>
  </si>
  <si>
    <t>J1050</t>
  </si>
  <si>
    <t>Depo-Provera Acetate</t>
  </si>
  <si>
    <t>150 mg</t>
  </si>
  <si>
    <t>5976-2453-71</t>
  </si>
  <si>
    <t>05976245371</t>
  </si>
  <si>
    <t>J1071</t>
  </si>
  <si>
    <t>Testosterone</t>
  </si>
  <si>
    <t>200 mg</t>
  </si>
  <si>
    <t>62756-015-40</t>
  </si>
  <si>
    <t>62756001540</t>
  </si>
  <si>
    <t>J1100</t>
  </si>
  <si>
    <t>Dexamethasone</t>
  </si>
  <si>
    <t>4 mg</t>
  </si>
  <si>
    <t>63323-165-30</t>
  </si>
  <si>
    <t>63323016530</t>
  </si>
  <si>
    <t>J1200</t>
  </si>
  <si>
    <t>Benadryl</t>
  </si>
  <si>
    <t>50 mg</t>
  </si>
  <si>
    <t>0641-0376-21</t>
  </si>
  <si>
    <t>00641037621</t>
  </si>
  <si>
    <t>J1610</t>
  </si>
  <si>
    <t>Glucagon</t>
  </si>
  <si>
    <t>1Mg</t>
  </si>
  <si>
    <t>0597-0053-01</t>
  </si>
  <si>
    <t>00597005301</t>
  </si>
  <si>
    <t>J1630</t>
  </si>
  <si>
    <t>Haloperidol, Up To 5 Mg</t>
  </si>
  <si>
    <t>100 mg</t>
  </si>
  <si>
    <t>0009-3475-01</t>
  </si>
  <si>
    <t>00009347501</t>
  </si>
  <si>
    <t>J1631</t>
  </si>
  <si>
    <t>Haloperidol Decanoate</t>
  </si>
  <si>
    <t>63323-469-05</t>
  </si>
  <si>
    <t>63323046905</t>
  </si>
  <si>
    <t>J1650</t>
  </si>
  <si>
    <t>Lovenox</t>
  </si>
  <si>
    <t>0075-0622-80</t>
  </si>
  <si>
    <t>00075062280</t>
  </si>
  <si>
    <t>J1740</t>
  </si>
  <si>
    <t>Ibandronate Sodium (Boniva)</t>
  </si>
  <si>
    <t>3MG</t>
  </si>
  <si>
    <t>55150-191-83</t>
  </si>
  <si>
    <t>55150019183</t>
  </si>
  <si>
    <t>J1756</t>
  </si>
  <si>
    <t xml:space="preserve"> Venofer </t>
  </si>
  <si>
    <t>20 mg</t>
  </si>
  <si>
    <t>0517-2310-05</t>
  </si>
  <si>
    <t>00517231005</t>
  </si>
  <si>
    <t>J1815</t>
  </si>
  <si>
    <t>Novolog</t>
  </si>
  <si>
    <t>10 units</t>
  </si>
  <si>
    <t>0169-7501-90</t>
  </si>
  <si>
    <t>00169750190</t>
  </si>
  <si>
    <t>J1885</t>
  </si>
  <si>
    <t>Toradol</t>
  </si>
  <si>
    <t>0409-3796-01</t>
  </si>
  <si>
    <t>00409379601</t>
  </si>
  <si>
    <t>J1940</t>
  </si>
  <si>
    <t>Furosemide</t>
  </si>
  <si>
    <t>0409-6102-04</t>
  </si>
  <si>
    <t>00409610204</t>
  </si>
  <si>
    <t>J1950</t>
  </si>
  <si>
    <t>Leuprolide Acetate</t>
  </si>
  <si>
    <t>22 mg</t>
  </si>
  <si>
    <t>0074-3346-03</t>
  </si>
  <si>
    <t>00074334603</t>
  </si>
  <si>
    <t>J1956</t>
  </si>
  <si>
    <t>Levofloxacin</t>
  </si>
  <si>
    <t>500mg</t>
  </si>
  <si>
    <t>17478-107-20</t>
  </si>
  <si>
    <t>17478010720</t>
  </si>
  <si>
    <t>J1980</t>
  </si>
  <si>
    <t>Hyoscyamine Sulfate (Levsin)</t>
  </si>
  <si>
    <t>0.5 mg</t>
  </si>
  <si>
    <t>0037-9001-05</t>
  </si>
  <si>
    <t>00037900105</t>
  </si>
  <si>
    <t>J2001</t>
  </si>
  <si>
    <t>Lidocaine Hydrochloride</t>
  </si>
  <si>
    <t xml:space="preserve"> 0409-4277-16</t>
  </si>
  <si>
    <t>00409427716</t>
  </si>
  <si>
    <t>J2010</t>
  </si>
  <si>
    <t>Lincocin</t>
  </si>
  <si>
    <t>300MG</t>
  </si>
  <si>
    <t>0009-0555-01</t>
  </si>
  <si>
    <t>00009055501</t>
  </si>
  <si>
    <t>J2182</t>
  </si>
  <si>
    <t>Nucala</t>
  </si>
  <si>
    <t xml:space="preserve">0173-0881-01 </t>
  </si>
  <si>
    <t>00173088101</t>
  </si>
  <si>
    <t>J2315</t>
  </si>
  <si>
    <t>Vivitrol</t>
  </si>
  <si>
    <t>65757-300-01</t>
  </si>
  <si>
    <t>65757030001</t>
  </si>
  <si>
    <t>J2360</t>
  </si>
  <si>
    <t>Orphenadrine Citrate</t>
  </si>
  <si>
    <t>30 mg</t>
  </si>
  <si>
    <t>0591-3222-47</t>
  </si>
  <si>
    <t>00591322247</t>
  </si>
  <si>
    <t>J2426</t>
  </si>
  <si>
    <t>Paliperidone Palmitate</t>
  </si>
  <si>
    <t>100mg</t>
  </si>
  <si>
    <t>50458-563-01</t>
  </si>
  <si>
    <t>50458056301</t>
  </si>
  <si>
    <t>J2550</t>
  </si>
  <si>
    <t>Promethazine</t>
  </si>
  <si>
    <t>0641-1495-31</t>
  </si>
  <si>
    <t>00641149531</t>
  </si>
  <si>
    <t>J2780</t>
  </si>
  <si>
    <t>Ranitidine</t>
  </si>
  <si>
    <t>68382-422-02</t>
  </si>
  <si>
    <t>68382042202</t>
  </si>
  <si>
    <t>J2794</t>
  </si>
  <si>
    <t>Risperdal Consta</t>
  </si>
  <si>
    <t>37.5 mg</t>
  </si>
  <si>
    <t>50458-307-11</t>
  </si>
  <si>
    <t>50458030711</t>
  </si>
  <si>
    <t>J2916</t>
  </si>
  <si>
    <t>Ferrict</t>
  </si>
  <si>
    <t>250 mg</t>
  </si>
  <si>
    <t>0591-0149-26</t>
  </si>
  <si>
    <t>00591014926</t>
  </si>
  <si>
    <t>J2920</t>
  </si>
  <si>
    <t>Solumedrol</t>
  </si>
  <si>
    <t>0009-0039-30</t>
  </si>
  <si>
    <t>00009003930</t>
  </si>
  <si>
    <t>J2930</t>
  </si>
  <si>
    <t>125 mg</t>
  </si>
  <si>
    <t>0009-0047-22</t>
  </si>
  <si>
    <t>00009004722</t>
  </si>
  <si>
    <t>J3301</t>
  </si>
  <si>
    <t>Kenalog</t>
  </si>
  <si>
    <t>0003-0293-28</t>
  </si>
  <si>
    <t>00003029328</t>
  </si>
  <si>
    <t>J3315</t>
  </si>
  <si>
    <t>Trelstar</t>
  </si>
  <si>
    <t>11.25.mg</t>
  </si>
  <si>
    <t>52544-188-76</t>
  </si>
  <si>
    <t>52544018876</t>
  </si>
  <si>
    <t>J3420</t>
  </si>
  <si>
    <t>Vitamin B12</t>
  </si>
  <si>
    <t>1000 mcg</t>
  </si>
  <si>
    <t>0517-0032-25</t>
  </si>
  <si>
    <t>00517003225</t>
  </si>
  <si>
    <t>J3475</t>
  </si>
  <si>
    <t>Magnesium Sulfate</t>
  </si>
  <si>
    <t>2 G</t>
  </si>
  <si>
    <t>63323-064-02</t>
  </si>
  <si>
    <t>63323006402</t>
  </si>
  <si>
    <t>J3489</t>
  </si>
  <si>
    <t>Zoledronic Acid</t>
  </si>
  <si>
    <t>5 mg</t>
  </si>
  <si>
    <t>55111-688-52</t>
  </si>
  <si>
    <t>55111068852</t>
  </si>
  <si>
    <t>J3490</t>
  </si>
  <si>
    <t>Tanzeum</t>
  </si>
  <si>
    <t>0173-0866-61</t>
  </si>
  <si>
    <t>00173086661</t>
  </si>
  <si>
    <t>J3590</t>
  </si>
  <si>
    <t>REPATHA</t>
  </si>
  <si>
    <t>140 mg</t>
  </si>
  <si>
    <t>0641-6182-10</t>
  </si>
  <si>
    <t>00641618210</t>
  </si>
  <si>
    <t>J7030</t>
  </si>
  <si>
    <t>Saline</t>
  </si>
  <si>
    <t>1000 ml</t>
  </si>
  <si>
    <t>0409-7983-09</t>
  </si>
  <si>
    <t>00409798309</t>
  </si>
  <si>
    <t>J7040</t>
  </si>
  <si>
    <t>500 ml</t>
  </si>
  <si>
    <t>0264-7800-10</t>
  </si>
  <si>
    <t>00264780010</t>
  </si>
  <si>
    <t>J7042</t>
  </si>
  <si>
    <t>Saline+Dextrose</t>
  </si>
  <si>
    <t>500CC</t>
  </si>
  <si>
    <t>0264-7612-10</t>
  </si>
  <si>
    <t>00264761210</t>
  </si>
  <si>
    <t>J7050</t>
  </si>
  <si>
    <t>250 ML</t>
  </si>
  <si>
    <t>0264-7800-20</t>
  </si>
  <si>
    <t>00264780020</t>
  </si>
  <si>
    <t>J7060</t>
  </si>
  <si>
    <t>Dextrose/Water</t>
  </si>
  <si>
    <t>J7120</t>
  </si>
  <si>
    <t>Ringers Lactate</t>
  </si>
  <si>
    <t>1000 cc</t>
  </si>
  <si>
    <t>0264-7750-00</t>
  </si>
  <si>
    <t>00264775000</t>
  </si>
  <si>
    <t>J7321</t>
  </si>
  <si>
    <t>Hyalgan</t>
  </si>
  <si>
    <t>89122-0724-20</t>
  </si>
  <si>
    <t>89122072420</t>
  </si>
  <si>
    <t>J7611</t>
  </si>
  <si>
    <t>Albuterol Inhal Conc</t>
  </si>
  <si>
    <t>00487-9501-25</t>
  </si>
  <si>
    <t>00487950125</t>
  </si>
  <si>
    <t>J7613</t>
  </si>
  <si>
    <t>Albuterol</t>
  </si>
  <si>
    <t>2.5 mg</t>
  </si>
  <si>
    <t>0487-9501-60</t>
  </si>
  <si>
    <t>00487950160</t>
  </si>
  <si>
    <t>J7614</t>
  </si>
  <si>
    <t>Xopenex</t>
  </si>
  <si>
    <t>0.63MG</t>
  </si>
  <si>
    <t>17478-173-24</t>
  </si>
  <si>
    <t>17478017324</t>
  </si>
  <si>
    <t>J7620</t>
  </si>
  <si>
    <t>Albuterol &amp; Ipratropium</t>
  </si>
  <si>
    <t>0487-0201-60</t>
  </si>
  <si>
    <t>00487020160</t>
  </si>
  <si>
    <t>J7644</t>
  </si>
  <si>
    <t>Ipratropium</t>
  </si>
  <si>
    <t>0591-3798-60</t>
  </si>
  <si>
    <t>00591379860</t>
  </si>
  <si>
    <t>J9217</t>
  </si>
  <si>
    <t>22.5 mg</t>
  </si>
  <si>
    <t>J9260</t>
  </si>
  <si>
    <t>Methotrexate</t>
  </si>
  <si>
    <t>50mg</t>
  </si>
  <si>
    <t>61703-350-37</t>
  </si>
  <si>
    <t>61703035037</t>
  </si>
  <si>
    <t>Q2035</t>
  </si>
  <si>
    <t>Afluria</t>
  </si>
  <si>
    <t>33332-115-10</t>
  </si>
  <si>
    <t>33332011510</t>
  </si>
  <si>
    <t>Q2037</t>
  </si>
  <si>
    <t>66521-118-02</t>
  </si>
  <si>
    <t>66521011802</t>
  </si>
  <si>
    <t>S0028</t>
  </si>
  <si>
    <t>Famotidine</t>
  </si>
  <si>
    <t>0641-6022-01</t>
  </si>
  <si>
    <t>00641602201</t>
  </si>
  <si>
    <t>S0030</t>
  </si>
  <si>
    <t>Metronidazole</t>
  </si>
  <si>
    <t>0409-7811-24</t>
  </si>
  <si>
    <t>00409781124</t>
  </si>
  <si>
    <t>S0077</t>
  </si>
  <si>
    <t>Cleocin Phosphate</t>
  </si>
  <si>
    <t>600 MG</t>
  </si>
  <si>
    <t>0009-3381-01</t>
  </si>
  <si>
    <t>00009338101</t>
  </si>
  <si>
    <t>58160-812-52</t>
  </si>
  <si>
    <t>58160081252</t>
  </si>
  <si>
    <t>0006-4171-00</t>
  </si>
  <si>
    <t>00006417100</t>
  </si>
  <si>
    <t>58160-976-20</t>
  </si>
  <si>
    <t>58160097620</t>
  </si>
  <si>
    <t>58160082803</t>
  </si>
  <si>
    <t>J1020</t>
  </si>
  <si>
    <t>Depo-Medrol</t>
  </si>
  <si>
    <t>400mg/10ml</t>
  </si>
  <si>
    <t>16714-150-01</t>
  </si>
  <si>
    <t>16714015001</t>
  </si>
  <si>
    <t>J3411</t>
  </si>
  <si>
    <t>Vitamin B1</t>
  </si>
  <si>
    <t>J7324</t>
  </si>
  <si>
    <t>ORTHOVISC</t>
  </si>
  <si>
    <t>59676036001</t>
  </si>
  <si>
    <t>J9250</t>
  </si>
  <si>
    <t>METHOTREXATE</t>
  </si>
  <si>
    <t>16729027730</t>
  </si>
  <si>
    <t>J3415</t>
  </si>
  <si>
    <t>Vitamin B6</t>
  </si>
  <si>
    <t>J2357</t>
  </si>
  <si>
    <t>Omalizumab</t>
  </si>
  <si>
    <t>50242004062</t>
  </si>
  <si>
    <t>00064017100</t>
  </si>
  <si>
    <t>j3110</t>
  </si>
  <si>
    <t>Teriparatide</t>
  </si>
  <si>
    <t>00002840001</t>
  </si>
  <si>
    <t>00006412102</t>
  </si>
  <si>
    <t>J1245</t>
  </si>
  <si>
    <t>DIPYRIDAMOLE</t>
  </si>
  <si>
    <t>0641-2569-41</t>
  </si>
  <si>
    <t>00641256941</t>
  </si>
  <si>
    <t>J1250</t>
  </si>
  <si>
    <t>DOBUTAMINE</t>
  </si>
  <si>
    <t>00409234462</t>
  </si>
  <si>
    <t>J1010</t>
  </si>
  <si>
    <t>Methylprednisolone Acetate</t>
  </si>
  <si>
    <t>07012115741</t>
  </si>
  <si>
    <t>J2919</t>
  </si>
  <si>
    <t>Methylprednisolone Sodium</t>
  </si>
  <si>
    <t>00009004725</t>
  </si>
  <si>
    <t>J1954</t>
  </si>
  <si>
    <t>Lutrate</t>
  </si>
  <si>
    <t>00074-3346-06</t>
  </si>
  <si>
    <t>00074334606</t>
  </si>
  <si>
    <t>J1817</t>
  </si>
  <si>
    <t>INSULIN ADMIN THRU DME</t>
  </si>
  <si>
    <t>00002-7510-01</t>
  </si>
  <si>
    <t>00002751001</t>
  </si>
  <si>
    <t>J3250</t>
  </si>
  <si>
    <t>TRIMETHOBENZAMIDE</t>
  </si>
  <si>
    <t>42023-0119-25</t>
  </si>
  <si>
    <t>42023011925</t>
  </si>
  <si>
    <t>J1070</t>
  </si>
  <si>
    <t>INJ TESTO CYPIONATE</t>
  </si>
  <si>
    <t>00574-0827-01</t>
  </si>
  <si>
    <t>00574082701</t>
  </si>
  <si>
    <t>J1750</t>
  </si>
  <si>
    <t>INJ IRON DEXTRAN</t>
  </si>
  <si>
    <t>00023-6082-01</t>
  </si>
  <si>
    <t>00023608201</t>
  </si>
  <si>
    <t>J2785</t>
  </si>
  <si>
    <t xml:space="preserve">Lexiscan </t>
  </si>
  <si>
    <t>00469-6501-89</t>
  </si>
  <si>
    <t>00469650189</t>
  </si>
  <si>
    <t>j1932</t>
  </si>
  <si>
    <t>Lanreotide</t>
  </si>
  <si>
    <t>69097-0870-67</t>
  </si>
  <si>
    <t>58160-0827-30</t>
  </si>
  <si>
    <t>58160082730</t>
  </si>
  <si>
    <t>J1080</t>
  </si>
  <si>
    <t>Testosterone Cypionate</t>
  </si>
  <si>
    <t>00574-0820-01</t>
  </si>
  <si>
    <t>00574082001</t>
  </si>
  <si>
    <t>J0715</t>
  </si>
  <si>
    <t>Ceftizoxime (Cefizox)</t>
  </si>
  <si>
    <t>445670-700-25</t>
  </si>
  <si>
    <t>44567070025</t>
  </si>
  <si>
    <t>J1000</t>
  </si>
  <si>
    <t>Depoestradiol Cypionate</t>
  </si>
  <si>
    <t>00009-0271-01</t>
  </si>
  <si>
    <t>00009027101</t>
  </si>
  <si>
    <t>70461-0024-03</t>
  </si>
  <si>
    <t>70461002403</t>
  </si>
  <si>
    <t>70461-0654-04</t>
  </si>
  <si>
    <t>70461065404</t>
  </si>
  <si>
    <t>J1335</t>
  </si>
  <si>
    <t>Ertapenem Injection</t>
  </si>
  <si>
    <t>00006-3843-71</t>
  </si>
  <si>
    <t>00006384371</t>
  </si>
  <si>
    <t>J0834</t>
  </si>
  <si>
    <t xml:space="preserve"> Cosyntropin Injection</t>
  </si>
  <si>
    <t>00781-3440-95</t>
  </si>
  <si>
    <t>00781344095</t>
  </si>
  <si>
    <t>J7645</t>
  </si>
  <si>
    <t>00487-9501-03</t>
  </si>
  <si>
    <t>00487950103</t>
  </si>
  <si>
    <t>J1438</t>
  </si>
  <si>
    <t>Etanercept</t>
  </si>
  <si>
    <t>58406-0032-01</t>
  </si>
  <si>
    <t>58406003201</t>
  </si>
  <si>
    <t>J2680</t>
  </si>
  <si>
    <t>Fluphenazine Decanoate</t>
  </si>
  <si>
    <t>00143-9529-01</t>
  </si>
  <si>
    <t>00143952901</t>
  </si>
  <si>
    <t>J2405</t>
  </si>
  <si>
    <t>Ondansteron</t>
  </si>
  <si>
    <t>60505-6130-05</t>
  </si>
  <si>
    <t>60505613005</t>
  </si>
  <si>
    <t>j0665</t>
  </si>
  <si>
    <t>Bupivacaine</t>
  </si>
  <si>
    <t>00409-1159-01</t>
  </si>
  <si>
    <t>00409115901</t>
  </si>
  <si>
    <t>58160-0842-52</t>
  </si>
  <si>
    <t>J0725</t>
  </si>
  <si>
    <t>CHORIONIC GONADOTROPI</t>
  </si>
  <si>
    <t>78206-1500-99</t>
  </si>
  <si>
    <t>78206150099</t>
  </si>
  <si>
    <t>J3121</t>
  </si>
  <si>
    <t>Testostero Enanthate</t>
  </si>
  <si>
    <t>00143-9750-01</t>
  </si>
  <si>
    <t>00143975001</t>
  </si>
  <si>
    <t>J3357</t>
  </si>
  <si>
    <t>Ustekinumab Sub</t>
  </si>
  <si>
    <t>57894-0061-03</t>
  </si>
  <si>
    <t>57894006103</t>
  </si>
  <si>
    <t>j0717</t>
  </si>
  <si>
    <t>Injection Certolizumab</t>
  </si>
  <si>
    <t>58160084811</t>
  </si>
  <si>
    <t>J1943</t>
  </si>
  <si>
    <t xml:space="preserve"> 59148-0019-71</t>
  </si>
  <si>
    <t xml:space="preserve"> 59148001971</t>
  </si>
  <si>
    <t>J0402</t>
  </si>
  <si>
    <t>ARIPIPRAZOLE</t>
  </si>
  <si>
    <t>59148-0102-80</t>
  </si>
  <si>
    <t>59148010280</t>
  </si>
  <si>
    <t>04928-1400-10</t>
  </si>
  <si>
    <t>04928140010</t>
  </si>
  <si>
    <t>J7313</t>
  </si>
  <si>
    <t>Intravitreal</t>
  </si>
  <si>
    <t>68611-0190-02</t>
  </si>
  <si>
    <t>J9035</t>
  </si>
  <si>
    <t>50242-0060-01</t>
  </si>
  <si>
    <t>00006-4347-99</t>
  </si>
  <si>
    <t>00006434799</t>
  </si>
  <si>
    <t>J1941</t>
  </si>
  <si>
    <t>Furoscix</t>
  </si>
  <si>
    <t>00409-6102-04</t>
  </si>
  <si>
    <t>33332-0024-03</t>
  </si>
  <si>
    <t>49281-0545-05</t>
  </si>
  <si>
    <t>00006-4329-02</t>
  </si>
  <si>
    <t>00006432902</t>
  </si>
  <si>
    <t>05816-0827-03</t>
  </si>
  <si>
    <t>05816082703</t>
  </si>
  <si>
    <t>J2003</t>
  </si>
  <si>
    <t>LIDOCAINE HYDROCHLORIDE</t>
  </si>
  <si>
    <t>00143-9577-10</t>
  </si>
  <si>
    <t>00143957710</t>
  </si>
  <si>
    <t>00006-4831-41</t>
  </si>
  <si>
    <t>00006483141</t>
  </si>
  <si>
    <t>J1938</t>
  </si>
  <si>
    <t>23155-0473-32</t>
  </si>
  <si>
    <t>23155047332</t>
  </si>
  <si>
    <t>49281-0590-05</t>
  </si>
  <si>
    <t>49281059005</t>
  </si>
  <si>
    <t>00006-4681-00</t>
  </si>
  <si>
    <t>00006468100</t>
  </si>
  <si>
    <t>58160-0744-03</t>
  </si>
  <si>
    <t>j1308</t>
  </si>
  <si>
    <t>63323-738-20</t>
  </si>
  <si>
    <t>00006-4047-20</t>
  </si>
  <si>
    <t>00006404720</t>
  </si>
  <si>
    <t>58160-0811-52</t>
  </si>
  <si>
    <t>58160081152</t>
  </si>
  <si>
    <t>33332-0124-10</t>
  </si>
  <si>
    <t>33332012410</t>
  </si>
  <si>
    <t>J1930</t>
  </si>
  <si>
    <t xml:space="preserve">Lanreotide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</si>
</sst>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176" formatCode="_ * #,##0.00_ ;_ * \-#,##0.00_ ;_ * &quot;-&quot;??_ ;_ @_ "/>
    <numFmt numFmtId="177" formatCode="_(&quot;$&quot;* #,##0.00_);_(&quot;$&quot;* \(#,##0.00\);_(&quot;$&quot;* &quot;-&quot;??_);_(@_)"/>
    <numFmt numFmtId="178" formatCode="_ * #,##0_ ;_ * \-#,##0_ ;_ * &quot;-&quot;_ ;_ @_ "/>
    <numFmt numFmtId="179" formatCode="_ &quot;₹&quot;* #,##0_ ;_ &quot;₹&quot;* \-#,##0_ ;_ &quot;₹&quot;* &quot;-&quot;_ ;_ @_ "/>
    <numFmt numFmtId="180" formatCode="&quot;$&quot;#,##0.00"/>
    <numFmt numFmtId="181" formatCode="&quot;$&quot;#,##0.00_);[Red]\(&quot;$&quot;#,##0.00\)"/>
  </numFmts>
  <fonts count="25">
    <font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333333"/>
      <name val="Calibri"/>
      <charset val="134"/>
      <scheme val="minor"/>
    </font>
    <font>
      <sz val="1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5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178" fontId="5" fillId="0" borderId="0" applyFont="0" applyFill="0" applyBorder="0" applyAlignment="0" applyProtection="0">
      <alignment vertical="center"/>
    </xf>
    <xf numFmtId="17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2" borderId="4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" borderId="7" applyNumberFormat="0" applyAlignment="0" applyProtection="0">
      <alignment vertical="center"/>
    </xf>
    <xf numFmtId="0" fontId="15" fillId="4" borderId="8" applyNumberFormat="0" applyAlignment="0" applyProtection="0">
      <alignment vertical="center"/>
    </xf>
    <xf numFmtId="0" fontId="16" fillId="4" borderId="7" applyNumberFormat="0" applyAlignment="0" applyProtection="0">
      <alignment vertical="center"/>
    </xf>
    <xf numFmtId="0" fontId="17" fillId="5" borderId="9" applyNumberFormat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6" borderId="0" applyNumberFormat="0" applyBorder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80" fontId="0" fillId="0" borderId="0" xfId="0" applyNumberFormat="1"/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0" fontId="2" fillId="0" borderId="1" xfId="2" applyNumberFormat="1" applyFont="1" applyFill="1" applyBorder="1" applyAlignment="1">
      <alignment horizontal="center" vertical="center"/>
    </xf>
    <xf numFmtId="180" fontId="0" fillId="0" borderId="1" xfId="2" applyNumberFormat="1" applyFont="1" applyFill="1" applyBorder="1" applyAlignment="1">
      <alignment horizontal="center" vertical="center"/>
    </xf>
    <xf numFmtId="180" fontId="0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180" fontId="0" fillId="0" borderId="1" xfId="0" applyNumberFormat="1" applyFont="1" applyBorder="1" applyAlignment="1">
      <alignment horizontal="center" vertical="center"/>
    </xf>
    <xf numFmtId="181" fontId="0" fillId="0" borderId="1" xfId="0" applyNumberFormat="1" applyFont="1" applyBorder="1" applyAlignment="1">
      <alignment horizontal="center" vertic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 applyAlignment="1">
      <alignment horizontal="center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58"/>
  <sheetViews>
    <sheetView tabSelected="1" workbookViewId="0">
      <selection activeCell="A1" sqref="A1"/>
    </sheetView>
  </sheetViews>
  <sheetFormatPr defaultColWidth="8.85714285714286" defaultRowHeight="15"/>
  <cols>
    <col min="1" max="1" width="5" customWidth="1"/>
    <col min="2" max="2" width="9.57142857142857" customWidth="1"/>
    <col min="3" max="3" width="43.4285714285714" customWidth="1"/>
    <col min="4" max="4" width="11.5714285714286" customWidth="1"/>
    <col min="5" max="5" width="13.4285714285714" customWidth="1"/>
    <col min="6" max="6" width="8.28571428571429" customWidth="1"/>
    <col min="8" max="8" width="13.8571428571429" customWidth="1"/>
    <col min="9" max="9" width="3" customWidth="1"/>
    <col min="10" max="10" width="10.7142857142857" style="3" customWidth="1"/>
    <col min="11" max="11" width="12.8571428571429"/>
  </cols>
  <sheetData>
    <row r="1" spans="1:1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4" t="s">
        <v>8</v>
      </c>
      <c r="J1" s="10" t="s">
        <v>9</v>
      </c>
      <c r="K1" s="4" t="s">
        <v>10</v>
      </c>
    </row>
    <row r="2" spans="1:11">
      <c r="A2" s="6">
        <v>1</v>
      </c>
      <c r="B2" s="6">
        <v>86580</v>
      </c>
      <c r="C2" s="7" t="s">
        <v>11</v>
      </c>
      <c r="D2" s="6">
        <v>1</v>
      </c>
      <c r="E2" s="7" t="s">
        <v>12</v>
      </c>
      <c r="F2" s="6">
        <v>1</v>
      </c>
      <c r="G2" s="6">
        <v>0.1</v>
      </c>
      <c r="H2" s="8" t="s">
        <v>13</v>
      </c>
      <c r="I2" s="7" t="s">
        <v>14</v>
      </c>
      <c r="J2" s="11">
        <v>0</v>
      </c>
      <c r="K2" s="6">
        <f>G2/F2</f>
        <v>0.1</v>
      </c>
    </row>
    <row r="3" spans="1:11">
      <c r="A3" s="6">
        <v>2</v>
      </c>
      <c r="B3" s="6">
        <v>90471</v>
      </c>
      <c r="C3" s="6"/>
      <c r="D3" s="6"/>
      <c r="E3" s="7" t="s">
        <v>15</v>
      </c>
      <c r="F3" s="6">
        <v>0.5</v>
      </c>
      <c r="G3" s="6">
        <v>1</v>
      </c>
      <c r="H3" s="8" t="s">
        <v>16</v>
      </c>
      <c r="I3" s="7" t="s">
        <v>14</v>
      </c>
      <c r="J3" s="11">
        <v>0</v>
      </c>
      <c r="K3" s="6">
        <f t="shared" ref="K3:K64" si="0">G3/F3</f>
        <v>2</v>
      </c>
    </row>
    <row r="4" spans="1:11">
      <c r="A4" s="6">
        <v>3</v>
      </c>
      <c r="B4" s="6">
        <v>90632</v>
      </c>
      <c r="C4" s="7" t="s">
        <v>17</v>
      </c>
      <c r="D4" s="6">
        <v>1</v>
      </c>
      <c r="E4" s="7" t="s">
        <v>18</v>
      </c>
      <c r="F4" s="6">
        <v>1</v>
      </c>
      <c r="G4" s="6">
        <v>1</v>
      </c>
      <c r="H4" s="8" t="s">
        <v>19</v>
      </c>
      <c r="I4" s="7" t="s">
        <v>14</v>
      </c>
      <c r="J4" s="11">
        <v>0</v>
      </c>
      <c r="K4" s="6">
        <f t="shared" si="0"/>
        <v>1</v>
      </c>
    </row>
    <row r="5" spans="1:11">
      <c r="A5" s="6">
        <v>4</v>
      </c>
      <c r="B5" s="6">
        <v>90658</v>
      </c>
      <c r="C5" s="7" t="s">
        <v>20</v>
      </c>
      <c r="D5" s="6">
        <v>1</v>
      </c>
      <c r="E5" s="7" t="s">
        <v>21</v>
      </c>
      <c r="F5" s="6">
        <v>1</v>
      </c>
      <c r="G5" s="6">
        <v>0.5</v>
      </c>
      <c r="H5" s="8" t="s">
        <v>22</v>
      </c>
      <c r="I5" s="7" t="s">
        <v>14</v>
      </c>
      <c r="J5" s="12">
        <v>20</v>
      </c>
      <c r="K5" s="6">
        <f t="shared" si="0"/>
        <v>0.5</v>
      </c>
    </row>
    <row r="6" spans="1:11">
      <c r="A6" s="6">
        <v>5</v>
      </c>
      <c r="B6" s="6">
        <v>90662</v>
      </c>
      <c r="C6" s="7" t="s">
        <v>23</v>
      </c>
      <c r="D6" s="6">
        <v>1</v>
      </c>
      <c r="E6" s="7" t="s">
        <v>24</v>
      </c>
      <c r="F6" s="6">
        <v>1</v>
      </c>
      <c r="G6" s="6">
        <v>0.5</v>
      </c>
      <c r="H6" s="8" t="s">
        <v>25</v>
      </c>
      <c r="I6" s="7" t="s">
        <v>14</v>
      </c>
      <c r="J6" s="11">
        <v>0</v>
      </c>
      <c r="K6" s="6">
        <f t="shared" si="0"/>
        <v>0.5</v>
      </c>
    </row>
    <row r="7" spans="1:11">
      <c r="A7" s="6">
        <v>6</v>
      </c>
      <c r="B7" s="6">
        <v>90670</v>
      </c>
      <c r="C7" s="7" t="s">
        <v>26</v>
      </c>
      <c r="D7" s="6">
        <v>1</v>
      </c>
      <c r="E7" s="7" t="s">
        <v>27</v>
      </c>
      <c r="F7" s="6">
        <v>1</v>
      </c>
      <c r="G7" s="6">
        <v>0.5</v>
      </c>
      <c r="H7" s="8" t="s">
        <v>28</v>
      </c>
      <c r="I7" s="7" t="s">
        <v>14</v>
      </c>
      <c r="J7" s="12">
        <v>385</v>
      </c>
      <c r="K7" s="6">
        <f t="shared" si="0"/>
        <v>0.5</v>
      </c>
    </row>
    <row r="8" spans="1:11">
      <c r="A8" s="6">
        <v>7</v>
      </c>
      <c r="B8" s="6">
        <v>90674</v>
      </c>
      <c r="C8" s="7" t="s">
        <v>23</v>
      </c>
      <c r="D8" s="6">
        <v>1</v>
      </c>
      <c r="E8" s="7" t="s">
        <v>29</v>
      </c>
      <c r="F8" s="6">
        <v>1</v>
      </c>
      <c r="G8" s="6">
        <v>0.5</v>
      </c>
      <c r="H8" s="8" t="s">
        <v>30</v>
      </c>
      <c r="I8" s="7" t="s">
        <v>14</v>
      </c>
      <c r="J8" s="12">
        <v>60</v>
      </c>
      <c r="K8" s="6">
        <f t="shared" si="0"/>
        <v>0.5</v>
      </c>
    </row>
    <row r="9" spans="1:11">
      <c r="A9" s="6">
        <v>8</v>
      </c>
      <c r="B9" s="6">
        <v>90677</v>
      </c>
      <c r="C9" s="7" t="s">
        <v>23</v>
      </c>
      <c r="D9" s="6">
        <v>1</v>
      </c>
      <c r="E9" s="7" t="s">
        <v>31</v>
      </c>
      <c r="F9" s="6">
        <v>1</v>
      </c>
      <c r="G9" s="6">
        <v>0.5</v>
      </c>
      <c r="H9" s="8" t="s">
        <v>32</v>
      </c>
      <c r="I9" s="7" t="s">
        <v>14</v>
      </c>
      <c r="J9" s="11">
        <v>425</v>
      </c>
      <c r="K9" s="6">
        <f t="shared" si="0"/>
        <v>0.5</v>
      </c>
    </row>
    <row r="10" spans="1:11">
      <c r="A10" s="6">
        <v>9</v>
      </c>
      <c r="B10" s="6">
        <v>90686</v>
      </c>
      <c r="C10" s="7" t="s">
        <v>33</v>
      </c>
      <c r="D10" s="6">
        <v>1</v>
      </c>
      <c r="E10" s="7" t="s">
        <v>34</v>
      </c>
      <c r="F10" s="6">
        <v>1</v>
      </c>
      <c r="G10" s="6">
        <v>0.5</v>
      </c>
      <c r="H10" s="8" t="s">
        <v>35</v>
      </c>
      <c r="I10" s="7" t="s">
        <v>14</v>
      </c>
      <c r="J10" s="11">
        <v>0</v>
      </c>
      <c r="K10" s="6">
        <f t="shared" si="0"/>
        <v>0.5</v>
      </c>
    </row>
    <row r="11" spans="1:11">
      <c r="A11" s="6">
        <v>10</v>
      </c>
      <c r="B11" s="6">
        <v>90688</v>
      </c>
      <c r="C11" s="7" t="s">
        <v>33</v>
      </c>
      <c r="D11" s="6">
        <v>1</v>
      </c>
      <c r="E11" s="7" t="s">
        <v>36</v>
      </c>
      <c r="F11" s="6">
        <v>1</v>
      </c>
      <c r="G11" s="6">
        <v>0.5</v>
      </c>
      <c r="H11" s="8" t="s">
        <v>37</v>
      </c>
      <c r="I11" s="7" t="s">
        <v>14</v>
      </c>
      <c r="J11" s="11">
        <v>0</v>
      </c>
      <c r="K11" s="6">
        <f t="shared" si="0"/>
        <v>0.5</v>
      </c>
    </row>
    <row r="12" spans="1:11">
      <c r="A12" s="6">
        <v>11</v>
      </c>
      <c r="B12" s="6">
        <v>90691</v>
      </c>
      <c r="C12" s="7" t="s">
        <v>38</v>
      </c>
      <c r="D12" s="6">
        <v>1</v>
      </c>
      <c r="E12" s="7" t="s">
        <v>39</v>
      </c>
      <c r="F12" s="6">
        <v>1</v>
      </c>
      <c r="G12" s="6">
        <v>0.5</v>
      </c>
      <c r="H12" s="8" t="s">
        <v>40</v>
      </c>
      <c r="I12" s="7" t="s">
        <v>14</v>
      </c>
      <c r="J12" s="11">
        <v>0</v>
      </c>
      <c r="K12" s="6">
        <f t="shared" si="0"/>
        <v>0.5</v>
      </c>
    </row>
    <row r="13" spans="1:11">
      <c r="A13" s="6">
        <v>12</v>
      </c>
      <c r="B13" s="6">
        <v>90694</v>
      </c>
      <c r="C13" s="7" t="s">
        <v>23</v>
      </c>
      <c r="D13" s="6">
        <v>1</v>
      </c>
      <c r="E13" s="7" t="s">
        <v>41</v>
      </c>
      <c r="F13" s="6">
        <v>1</v>
      </c>
      <c r="G13" s="6">
        <v>0.5</v>
      </c>
      <c r="H13" s="8" t="s">
        <v>42</v>
      </c>
      <c r="I13" s="7" t="s">
        <v>14</v>
      </c>
      <c r="J13" s="11">
        <v>0</v>
      </c>
      <c r="K13" s="6">
        <f t="shared" si="0"/>
        <v>0.5</v>
      </c>
    </row>
    <row r="14" spans="1:11">
      <c r="A14" s="6">
        <v>13</v>
      </c>
      <c r="B14" s="6">
        <v>90714</v>
      </c>
      <c r="C14" s="7" t="s">
        <v>43</v>
      </c>
      <c r="D14" s="6">
        <v>1</v>
      </c>
      <c r="E14" s="7" t="s">
        <v>44</v>
      </c>
      <c r="F14" s="6">
        <v>1</v>
      </c>
      <c r="G14" s="6">
        <v>0.5</v>
      </c>
      <c r="H14" s="8" t="s">
        <v>45</v>
      </c>
      <c r="I14" s="7" t="s">
        <v>14</v>
      </c>
      <c r="J14" s="12">
        <v>50</v>
      </c>
      <c r="K14" s="6">
        <f t="shared" si="0"/>
        <v>0.5</v>
      </c>
    </row>
    <row r="15" spans="1:11">
      <c r="A15" s="6">
        <v>14</v>
      </c>
      <c r="B15" s="6">
        <v>90715</v>
      </c>
      <c r="C15" s="7" t="s">
        <v>46</v>
      </c>
      <c r="D15" s="6">
        <v>1</v>
      </c>
      <c r="E15" s="7" t="s">
        <v>47</v>
      </c>
      <c r="F15" s="6">
        <v>1</v>
      </c>
      <c r="G15" s="6">
        <v>0.5</v>
      </c>
      <c r="H15" s="8" t="s">
        <v>48</v>
      </c>
      <c r="I15" s="7" t="s">
        <v>14</v>
      </c>
      <c r="J15" s="11">
        <v>60</v>
      </c>
      <c r="K15" s="6">
        <f t="shared" si="0"/>
        <v>0.5</v>
      </c>
    </row>
    <row r="16" spans="1:11">
      <c r="A16" s="6">
        <v>15</v>
      </c>
      <c r="B16" s="6">
        <v>90717</v>
      </c>
      <c r="C16" s="7" t="s">
        <v>49</v>
      </c>
      <c r="D16" s="6">
        <v>1</v>
      </c>
      <c r="E16" s="7" t="s">
        <v>50</v>
      </c>
      <c r="F16" s="6">
        <v>1</v>
      </c>
      <c r="G16" s="6">
        <v>0.5</v>
      </c>
      <c r="H16" s="8" t="s">
        <v>51</v>
      </c>
      <c r="I16" s="7" t="s">
        <v>14</v>
      </c>
      <c r="J16" s="11">
        <v>0</v>
      </c>
      <c r="K16" s="6">
        <f t="shared" si="0"/>
        <v>0.5</v>
      </c>
    </row>
    <row r="17" spans="1:11">
      <c r="A17" s="6">
        <v>16</v>
      </c>
      <c r="B17" s="6">
        <v>90732</v>
      </c>
      <c r="C17" s="7" t="s">
        <v>52</v>
      </c>
      <c r="D17" s="6">
        <v>1</v>
      </c>
      <c r="E17" s="7" t="s">
        <v>53</v>
      </c>
      <c r="F17" s="6">
        <v>1</v>
      </c>
      <c r="G17" s="6">
        <v>0.5</v>
      </c>
      <c r="H17" s="8" t="s">
        <v>54</v>
      </c>
      <c r="I17" s="7" t="s">
        <v>14</v>
      </c>
      <c r="J17" s="12">
        <v>225</v>
      </c>
      <c r="K17" s="6">
        <f t="shared" si="0"/>
        <v>0.5</v>
      </c>
    </row>
    <row r="18" spans="1:11">
      <c r="A18" s="6">
        <v>17</v>
      </c>
      <c r="B18" s="6">
        <v>90746</v>
      </c>
      <c r="C18" s="7" t="s">
        <v>55</v>
      </c>
      <c r="D18" s="6">
        <v>1</v>
      </c>
      <c r="E18" s="7" t="s">
        <v>56</v>
      </c>
      <c r="F18" s="6">
        <v>1</v>
      </c>
      <c r="G18" s="6">
        <v>1</v>
      </c>
      <c r="H18" s="8" t="s">
        <v>57</v>
      </c>
      <c r="I18" s="7" t="s">
        <v>14</v>
      </c>
      <c r="J18" s="12">
        <v>115</v>
      </c>
      <c r="K18" s="6">
        <f t="shared" si="0"/>
        <v>1</v>
      </c>
    </row>
    <row r="19" spans="1:11">
      <c r="A19" s="6">
        <v>18</v>
      </c>
      <c r="B19" s="6">
        <v>90756</v>
      </c>
      <c r="C19" s="9" t="s">
        <v>58</v>
      </c>
      <c r="D19" s="6">
        <v>1</v>
      </c>
      <c r="E19" s="7" t="s">
        <v>59</v>
      </c>
      <c r="F19" s="6">
        <v>1</v>
      </c>
      <c r="G19" s="6">
        <v>0.5</v>
      </c>
      <c r="H19" s="8" t="s">
        <v>60</v>
      </c>
      <c r="I19" s="7" t="s">
        <v>14</v>
      </c>
      <c r="J19" s="12">
        <v>55</v>
      </c>
      <c r="K19" s="6">
        <f t="shared" si="0"/>
        <v>0.5</v>
      </c>
    </row>
    <row r="20" spans="1:11">
      <c r="A20" s="6">
        <v>19</v>
      </c>
      <c r="B20" s="7" t="s">
        <v>61</v>
      </c>
      <c r="C20" s="7" t="s">
        <v>62</v>
      </c>
      <c r="D20" s="6"/>
      <c r="E20" s="7" t="s">
        <v>63</v>
      </c>
      <c r="F20" s="6">
        <v>1</v>
      </c>
      <c r="G20" s="6">
        <v>1</v>
      </c>
      <c r="H20" s="8" t="s">
        <v>64</v>
      </c>
      <c r="I20" s="7" t="s">
        <v>14</v>
      </c>
      <c r="J20" s="11">
        <v>0</v>
      </c>
      <c r="K20" s="6">
        <f t="shared" si="0"/>
        <v>1</v>
      </c>
    </row>
    <row r="21" spans="1:11">
      <c r="A21" s="6">
        <v>20</v>
      </c>
      <c r="B21" s="7" t="s">
        <v>65</v>
      </c>
      <c r="C21" s="7" t="s">
        <v>66</v>
      </c>
      <c r="D21" s="7" t="s">
        <v>67</v>
      </c>
      <c r="E21" s="7" t="s">
        <v>68</v>
      </c>
      <c r="F21" s="6">
        <v>10</v>
      </c>
      <c r="G21" s="6">
        <v>1</v>
      </c>
      <c r="H21" s="8" t="s">
        <v>69</v>
      </c>
      <c r="I21" s="7" t="s">
        <v>14</v>
      </c>
      <c r="J21" s="11">
        <v>0</v>
      </c>
      <c r="K21" s="6">
        <f t="shared" si="0"/>
        <v>0.1</v>
      </c>
    </row>
    <row r="22" spans="1:11">
      <c r="A22" s="6">
        <v>21</v>
      </c>
      <c r="B22" s="7" t="s">
        <v>70</v>
      </c>
      <c r="C22" s="9" t="s">
        <v>71</v>
      </c>
      <c r="D22" s="7" t="s">
        <v>72</v>
      </c>
      <c r="E22" s="9" t="s">
        <v>73</v>
      </c>
      <c r="F22" s="6">
        <v>1</v>
      </c>
      <c r="G22" s="6">
        <v>1</v>
      </c>
      <c r="H22" s="8" t="s">
        <v>74</v>
      </c>
      <c r="I22" s="7" t="s">
        <v>14</v>
      </c>
      <c r="J22" s="11">
        <v>0</v>
      </c>
      <c r="K22" s="6">
        <f t="shared" si="0"/>
        <v>1</v>
      </c>
    </row>
    <row r="23" spans="1:11">
      <c r="A23" s="6">
        <v>22</v>
      </c>
      <c r="B23" s="7" t="s">
        <v>75</v>
      </c>
      <c r="C23" s="7" t="s">
        <v>76</v>
      </c>
      <c r="D23" s="7" t="s">
        <v>77</v>
      </c>
      <c r="E23" s="7" t="s">
        <v>78</v>
      </c>
      <c r="F23" s="6">
        <v>400</v>
      </c>
      <c r="G23" s="6">
        <v>5</v>
      </c>
      <c r="H23" s="8" t="s">
        <v>79</v>
      </c>
      <c r="I23" s="7" t="s">
        <v>14</v>
      </c>
      <c r="J23" s="12">
        <v>15</v>
      </c>
      <c r="K23" s="6">
        <f t="shared" si="0"/>
        <v>0.0125</v>
      </c>
    </row>
    <row r="24" spans="1:11">
      <c r="A24" s="6">
        <v>23</v>
      </c>
      <c r="B24" s="7" t="s">
        <v>80</v>
      </c>
      <c r="C24" s="7" t="s">
        <v>81</v>
      </c>
      <c r="D24" s="7" t="s">
        <v>82</v>
      </c>
      <c r="E24" s="7" t="s">
        <v>83</v>
      </c>
      <c r="F24" s="6">
        <v>1</v>
      </c>
      <c r="G24" s="6">
        <v>10</v>
      </c>
      <c r="H24" s="8" t="s">
        <v>84</v>
      </c>
      <c r="I24" s="7" t="s">
        <v>14</v>
      </c>
      <c r="J24" s="11">
        <v>0</v>
      </c>
      <c r="K24" s="6">
        <f t="shared" si="0"/>
        <v>10</v>
      </c>
    </row>
    <row r="25" spans="1:11">
      <c r="A25" s="6">
        <v>24</v>
      </c>
      <c r="B25" s="7" t="s">
        <v>85</v>
      </c>
      <c r="C25" s="9" t="s">
        <v>86</v>
      </c>
      <c r="D25" s="7" t="s">
        <v>87</v>
      </c>
      <c r="E25" s="7" t="s">
        <v>88</v>
      </c>
      <c r="F25" s="6">
        <v>30</v>
      </c>
      <c r="G25" s="6">
        <v>1</v>
      </c>
      <c r="H25" s="8" t="s">
        <v>89</v>
      </c>
      <c r="I25" s="7" t="s">
        <v>14</v>
      </c>
      <c r="J25" s="11">
        <v>0</v>
      </c>
      <c r="K25" s="6">
        <f t="shared" si="0"/>
        <v>0.0333333333333333</v>
      </c>
    </row>
    <row r="26" spans="1:11">
      <c r="A26" s="6">
        <v>25</v>
      </c>
      <c r="B26" s="7" t="s">
        <v>90</v>
      </c>
      <c r="C26" s="7" t="s">
        <v>91</v>
      </c>
      <c r="D26" s="6">
        <v>1200000</v>
      </c>
      <c r="E26" s="7" t="s">
        <v>92</v>
      </c>
      <c r="F26" s="6">
        <v>12</v>
      </c>
      <c r="G26" s="6">
        <v>2</v>
      </c>
      <c r="H26" s="8" t="s">
        <v>93</v>
      </c>
      <c r="I26" s="7" t="s">
        <v>14</v>
      </c>
      <c r="J26" s="11">
        <v>30</v>
      </c>
      <c r="K26" s="6">
        <f t="shared" si="0"/>
        <v>0.166666666666667</v>
      </c>
    </row>
    <row r="27" spans="1:11">
      <c r="A27" s="6">
        <v>26</v>
      </c>
      <c r="B27" s="7" t="s">
        <v>94</v>
      </c>
      <c r="C27" s="7" t="s">
        <v>95</v>
      </c>
      <c r="D27" s="7" t="s">
        <v>82</v>
      </c>
      <c r="E27" s="7" t="s">
        <v>96</v>
      </c>
      <c r="F27" s="6">
        <v>1</v>
      </c>
      <c r="G27" s="6">
        <v>1.5</v>
      </c>
      <c r="H27" s="8" t="s">
        <v>97</v>
      </c>
      <c r="I27" s="7" t="s">
        <v>14</v>
      </c>
      <c r="J27" s="11">
        <v>0</v>
      </c>
      <c r="K27" s="6">
        <f t="shared" si="0"/>
        <v>1.5</v>
      </c>
    </row>
    <row r="28" spans="1:11">
      <c r="A28" s="6">
        <v>27</v>
      </c>
      <c r="B28" s="7" t="s">
        <v>98</v>
      </c>
      <c r="C28" s="7" t="s">
        <v>99</v>
      </c>
      <c r="D28" s="7" t="s">
        <v>100</v>
      </c>
      <c r="E28" s="7" t="s">
        <v>101</v>
      </c>
      <c r="F28" s="6">
        <v>1</v>
      </c>
      <c r="G28" s="6">
        <v>10</v>
      </c>
      <c r="H28" s="8" t="s">
        <v>102</v>
      </c>
      <c r="I28" s="7" t="s">
        <v>14</v>
      </c>
      <c r="J28" s="11">
        <v>0</v>
      </c>
      <c r="K28" s="6">
        <f t="shared" si="0"/>
        <v>10</v>
      </c>
    </row>
    <row r="29" spans="1:11">
      <c r="A29" s="6">
        <v>28</v>
      </c>
      <c r="B29" s="7" t="s">
        <v>103</v>
      </c>
      <c r="C29" s="7" t="s">
        <v>104</v>
      </c>
      <c r="D29" s="7" t="s">
        <v>105</v>
      </c>
      <c r="E29" s="7" t="s">
        <v>106</v>
      </c>
      <c r="F29" s="6">
        <v>4</v>
      </c>
      <c r="G29" s="6">
        <v>1</v>
      </c>
      <c r="H29" s="8" t="s">
        <v>107</v>
      </c>
      <c r="I29" s="7" t="s">
        <v>108</v>
      </c>
      <c r="J29" s="11">
        <v>5</v>
      </c>
      <c r="K29" s="6">
        <f t="shared" si="0"/>
        <v>0.25</v>
      </c>
    </row>
    <row r="30" spans="1:11">
      <c r="A30" s="6">
        <v>29</v>
      </c>
      <c r="B30" s="7" t="s">
        <v>109</v>
      </c>
      <c r="C30" s="7" t="s">
        <v>110</v>
      </c>
      <c r="D30" s="7" t="s">
        <v>111</v>
      </c>
      <c r="E30" s="7" t="s">
        <v>112</v>
      </c>
      <c r="F30" s="6">
        <v>1</v>
      </c>
      <c r="G30" s="6">
        <v>1</v>
      </c>
      <c r="H30" s="8" t="s">
        <v>113</v>
      </c>
      <c r="I30" s="7" t="s">
        <v>14</v>
      </c>
      <c r="J30" s="11">
        <v>0</v>
      </c>
      <c r="K30" s="6">
        <f t="shared" si="0"/>
        <v>1</v>
      </c>
    </row>
    <row r="31" spans="1:11">
      <c r="A31" s="6">
        <v>30</v>
      </c>
      <c r="B31" s="7" t="s">
        <v>114</v>
      </c>
      <c r="C31" s="7" t="s">
        <v>115</v>
      </c>
      <c r="D31" s="7" t="s">
        <v>116</v>
      </c>
      <c r="E31" s="7" t="s">
        <v>117</v>
      </c>
      <c r="F31" s="6">
        <v>10</v>
      </c>
      <c r="G31" s="6">
        <v>2.5</v>
      </c>
      <c r="H31" s="8" t="s">
        <v>118</v>
      </c>
      <c r="I31" s="7" t="s">
        <v>14</v>
      </c>
      <c r="J31" s="11">
        <v>0</v>
      </c>
      <c r="K31" s="6">
        <f t="shared" si="0"/>
        <v>0.25</v>
      </c>
    </row>
    <row r="32" spans="1:11">
      <c r="A32" s="6">
        <v>31</v>
      </c>
      <c r="B32" s="7" t="s">
        <v>119</v>
      </c>
      <c r="C32" s="7" t="s">
        <v>120</v>
      </c>
      <c r="D32" s="7" t="s">
        <v>121</v>
      </c>
      <c r="E32" s="7" t="s">
        <v>122</v>
      </c>
      <c r="F32" s="7">
        <v>1</v>
      </c>
      <c r="G32" s="7">
        <v>1</v>
      </c>
      <c r="H32" s="8" t="s">
        <v>123</v>
      </c>
      <c r="I32" s="7" t="s">
        <v>14</v>
      </c>
      <c r="J32" s="12">
        <v>60</v>
      </c>
      <c r="K32" s="6">
        <f t="shared" si="0"/>
        <v>1</v>
      </c>
    </row>
    <row r="33" spans="1:11">
      <c r="A33" s="6">
        <v>32</v>
      </c>
      <c r="B33" s="7" t="s">
        <v>124</v>
      </c>
      <c r="C33" s="7" t="s">
        <v>115</v>
      </c>
      <c r="D33" s="7" t="s">
        <v>125</v>
      </c>
      <c r="E33" s="7" t="s">
        <v>117</v>
      </c>
      <c r="F33" s="6">
        <v>2</v>
      </c>
      <c r="G33" s="6">
        <v>2</v>
      </c>
      <c r="H33" s="8" t="s">
        <v>118</v>
      </c>
      <c r="I33" s="7" t="s">
        <v>14</v>
      </c>
      <c r="J33" s="11">
        <v>0</v>
      </c>
      <c r="K33" s="6">
        <f t="shared" si="0"/>
        <v>1</v>
      </c>
    </row>
    <row r="34" spans="1:11">
      <c r="A34" s="6">
        <v>33</v>
      </c>
      <c r="B34" s="7" t="s">
        <v>126</v>
      </c>
      <c r="C34" s="7" t="s">
        <v>127</v>
      </c>
      <c r="D34" s="7" t="s">
        <v>128</v>
      </c>
      <c r="E34" s="7" t="s">
        <v>129</v>
      </c>
      <c r="F34" s="6">
        <v>40</v>
      </c>
      <c r="G34" s="6">
        <v>1</v>
      </c>
      <c r="H34" s="8" t="s">
        <v>130</v>
      </c>
      <c r="I34" s="7" t="s">
        <v>14</v>
      </c>
      <c r="J34" s="11">
        <v>15</v>
      </c>
      <c r="K34" s="6">
        <f t="shared" si="0"/>
        <v>0.025</v>
      </c>
    </row>
    <row r="35" spans="1:11">
      <c r="A35" s="6">
        <v>34</v>
      </c>
      <c r="B35" s="7" t="s">
        <v>131</v>
      </c>
      <c r="C35" s="7" t="s">
        <v>132</v>
      </c>
      <c r="D35" s="7" t="s">
        <v>133</v>
      </c>
      <c r="E35" s="7" t="s">
        <v>134</v>
      </c>
      <c r="F35" s="6">
        <v>1</v>
      </c>
      <c r="G35" s="6">
        <v>1</v>
      </c>
      <c r="H35" s="8" t="s">
        <v>135</v>
      </c>
      <c r="I35" s="7" t="s">
        <v>14</v>
      </c>
      <c r="J35" s="11">
        <v>35</v>
      </c>
      <c r="K35" s="6">
        <f t="shared" si="0"/>
        <v>1</v>
      </c>
    </row>
    <row r="36" spans="1:11">
      <c r="A36" s="6">
        <v>35</v>
      </c>
      <c r="B36" s="7" t="s">
        <v>136</v>
      </c>
      <c r="C36" s="7" t="s">
        <v>137</v>
      </c>
      <c r="D36" s="7" t="s">
        <v>138</v>
      </c>
      <c r="E36" s="7" t="s">
        <v>139</v>
      </c>
      <c r="F36" s="6">
        <v>1</v>
      </c>
      <c r="G36" s="6">
        <v>1</v>
      </c>
      <c r="H36" s="8" t="s">
        <v>140</v>
      </c>
      <c r="I36" s="7" t="s">
        <v>14</v>
      </c>
      <c r="J36" s="11">
        <v>10</v>
      </c>
      <c r="K36" s="6">
        <f t="shared" si="0"/>
        <v>1</v>
      </c>
    </row>
    <row r="37" spans="1:11">
      <c r="A37" s="6">
        <v>36</v>
      </c>
      <c r="B37" s="7" t="s">
        <v>141</v>
      </c>
      <c r="C37" s="7" t="s">
        <v>137</v>
      </c>
      <c r="D37" s="7" t="s">
        <v>142</v>
      </c>
      <c r="E37" s="7" t="s">
        <v>143</v>
      </c>
      <c r="F37" s="6">
        <v>1</v>
      </c>
      <c r="G37" s="6">
        <v>1</v>
      </c>
      <c r="H37" s="8" t="s">
        <v>144</v>
      </c>
      <c r="I37" s="7" t="s">
        <v>14</v>
      </c>
      <c r="J37" s="11">
        <v>20</v>
      </c>
      <c r="K37" s="6">
        <f t="shared" si="0"/>
        <v>1</v>
      </c>
    </row>
    <row r="38" spans="1:11">
      <c r="A38" s="6">
        <v>37</v>
      </c>
      <c r="B38" s="7" t="s">
        <v>145</v>
      </c>
      <c r="C38" s="7" t="s">
        <v>146</v>
      </c>
      <c r="D38" s="7" t="s">
        <v>147</v>
      </c>
      <c r="E38" s="7" t="s">
        <v>148</v>
      </c>
      <c r="F38" s="6">
        <v>150</v>
      </c>
      <c r="G38" s="6">
        <v>1</v>
      </c>
      <c r="H38" s="8" t="s">
        <v>149</v>
      </c>
      <c r="I38" s="7" t="s">
        <v>14</v>
      </c>
      <c r="J38" s="12">
        <v>5</v>
      </c>
      <c r="K38" s="6">
        <f t="shared" si="0"/>
        <v>0.00666666666666667</v>
      </c>
    </row>
    <row r="39" spans="1:11">
      <c r="A39" s="6">
        <v>38</v>
      </c>
      <c r="B39" s="7" t="s">
        <v>150</v>
      </c>
      <c r="C39" s="7" t="s">
        <v>151</v>
      </c>
      <c r="D39" s="7" t="s">
        <v>152</v>
      </c>
      <c r="E39" s="7" t="s">
        <v>153</v>
      </c>
      <c r="F39" s="7">
        <v>1</v>
      </c>
      <c r="G39" s="7">
        <v>1</v>
      </c>
      <c r="H39" s="8" t="s">
        <v>154</v>
      </c>
      <c r="I39" s="7" t="s">
        <v>14</v>
      </c>
      <c r="J39" s="11">
        <v>5</v>
      </c>
      <c r="K39" s="6">
        <f t="shared" si="0"/>
        <v>1</v>
      </c>
    </row>
    <row r="40" spans="1:11">
      <c r="A40" s="6">
        <v>39</v>
      </c>
      <c r="B40" s="7" t="s">
        <v>155</v>
      </c>
      <c r="C40" s="7" t="s">
        <v>156</v>
      </c>
      <c r="D40" s="7" t="s">
        <v>157</v>
      </c>
      <c r="E40" s="7" t="s">
        <v>158</v>
      </c>
      <c r="F40" s="6">
        <v>4</v>
      </c>
      <c r="G40" s="6">
        <v>1</v>
      </c>
      <c r="H40" s="8" t="s">
        <v>159</v>
      </c>
      <c r="I40" s="7" t="s">
        <v>14</v>
      </c>
      <c r="J40" s="11">
        <v>5</v>
      </c>
      <c r="K40" s="6">
        <f t="shared" si="0"/>
        <v>0.25</v>
      </c>
    </row>
    <row r="41" spans="1:11">
      <c r="A41" s="6">
        <v>40</v>
      </c>
      <c r="B41" s="7" t="s">
        <v>160</v>
      </c>
      <c r="C41" s="7" t="s">
        <v>161</v>
      </c>
      <c r="D41" s="7" t="s">
        <v>162</v>
      </c>
      <c r="E41" s="7" t="s">
        <v>163</v>
      </c>
      <c r="F41" s="6">
        <v>1</v>
      </c>
      <c r="G41" s="6">
        <v>1</v>
      </c>
      <c r="H41" s="8" t="s">
        <v>164</v>
      </c>
      <c r="I41" s="7" t="s">
        <v>14</v>
      </c>
      <c r="J41" s="11">
        <v>5</v>
      </c>
      <c r="K41" s="6">
        <f t="shared" si="0"/>
        <v>1</v>
      </c>
    </row>
    <row r="42" spans="1:11">
      <c r="A42" s="6">
        <v>41</v>
      </c>
      <c r="B42" s="7" t="s">
        <v>165</v>
      </c>
      <c r="C42" s="7" t="s">
        <v>166</v>
      </c>
      <c r="D42" s="7" t="s">
        <v>167</v>
      </c>
      <c r="E42" s="7" t="s">
        <v>168</v>
      </c>
      <c r="F42" s="6">
        <v>1</v>
      </c>
      <c r="G42" s="6">
        <v>1</v>
      </c>
      <c r="H42" s="8" t="s">
        <v>169</v>
      </c>
      <c r="I42" s="7" t="s">
        <v>14</v>
      </c>
      <c r="J42" s="11">
        <v>0</v>
      </c>
      <c r="K42" s="6">
        <f t="shared" si="0"/>
        <v>1</v>
      </c>
    </row>
    <row r="43" spans="1:11">
      <c r="A43" s="6">
        <v>42</v>
      </c>
      <c r="B43" s="7" t="s">
        <v>170</v>
      </c>
      <c r="C43" s="7" t="s">
        <v>171</v>
      </c>
      <c r="D43" s="7" t="s">
        <v>172</v>
      </c>
      <c r="E43" s="7" t="s">
        <v>173</v>
      </c>
      <c r="F43" s="6">
        <v>20</v>
      </c>
      <c r="G43" s="6">
        <v>1</v>
      </c>
      <c r="H43" s="8" t="s">
        <v>174</v>
      </c>
      <c r="I43" s="7" t="s">
        <v>14</v>
      </c>
      <c r="J43" s="11">
        <v>0</v>
      </c>
      <c r="K43" s="6">
        <f t="shared" si="0"/>
        <v>0.05</v>
      </c>
    </row>
    <row r="44" spans="1:11">
      <c r="A44" s="6">
        <v>43</v>
      </c>
      <c r="B44" s="7" t="s">
        <v>175</v>
      </c>
      <c r="C44" s="7" t="s">
        <v>176</v>
      </c>
      <c r="D44" s="7" t="s">
        <v>162</v>
      </c>
      <c r="E44" s="7" t="s">
        <v>177</v>
      </c>
      <c r="F44" s="6">
        <v>1</v>
      </c>
      <c r="G44" s="6">
        <v>1</v>
      </c>
      <c r="H44" s="8" t="s">
        <v>178</v>
      </c>
      <c r="I44" s="7" t="s">
        <v>14</v>
      </c>
      <c r="J44" s="12">
        <v>15</v>
      </c>
      <c r="K44" s="6">
        <f t="shared" si="0"/>
        <v>1</v>
      </c>
    </row>
    <row r="45" spans="1:11">
      <c r="A45" s="6">
        <v>44</v>
      </c>
      <c r="B45" s="7" t="s">
        <v>179</v>
      </c>
      <c r="C45" s="7" t="s">
        <v>180</v>
      </c>
      <c r="D45" s="7" t="s">
        <v>142</v>
      </c>
      <c r="E45" s="7" t="s">
        <v>181</v>
      </c>
      <c r="F45" s="6">
        <v>8</v>
      </c>
      <c r="G45" s="6">
        <v>0.8</v>
      </c>
      <c r="H45" s="8" t="s">
        <v>182</v>
      </c>
      <c r="I45" s="7" t="s">
        <v>14</v>
      </c>
      <c r="J45" s="11">
        <v>0</v>
      </c>
      <c r="K45" s="6">
        <f t="shared" si="0"/>
        <v>0.1</v>
      </c>
    </row>
    <row r="46" spans="1:11">
      <c r="A46" s="6">
        <v>45</v>
      </c>
      <c r="B46" s="7" t="s">
        <v>183</v>
      </c>
      <c r="C46" s="7" t="s">
        <v>184</v>
      </c>
      <c r="D46" s="7" t="s">
        <v>185</v>
      </c>
      <c r="E46" s="7" t="s">
        <v>186</v>
      </c>
      <c r="F46" s="6">
        <v>3</v>
      </c>
      <c r="G46" s="6">
        <v>1</v>
      </c>
      <c r="H46" s="8" t="s">
        <v>187</v>
      </c>
      <c r="I46" s="7" t="s">
        <v>14</v>
      </c>
      <c r="J46" s="11">
        <v>0</v>
      </c>
      <c r="K46" s="6">
        <f t="shared" si="0"/>
        <v>0.333333333333333</v>
      </c>
    </row>
    <row r="47" spans="1:11">
      <c r="A47" s="6">
        <v>46</v>
      </c>
      <c r="B47" s="7" t="s">
        <v>188</v>
      </c>
      <c r="C47" s="7" t="s">
        <v>189</v>
      </c>
      <c r="D47" s="7" t="s">
        <v>190</v>
      </c>
      <c r="E47" s="7" t="s">
        <v>191</v>
      </c>
      <c r="F47" s="6">
        <v>20</v>
      </c>
      <c r="G47" s="6">
        <v>1</v>
      </c>
      <c r="H47" s="8" t="s">
        <v>192</v>
      </c>
      <c r="I47" s="7" t="s">
        <v>14</v>
      </c>
      <c r="J47" s="11">
        <v>0</v>
      </c>
      <c r="K47" s="6">
        <f t="shared" si="0"/>
        <v>0.05</v>
      </c>
    </row>
    <row r="48" spans="1:11">
      <c r="A48" s="6">
        <v>47</v>
      </c>
      <c r="B48" s="7" t="s">
        <v>193</v>
      </c>
      <c r="C48" s="7" t="s">
        <v>194</v>
      </c>
      <c r="D48" s="7" t="s">
        <v>195</v>
      </c>
      <c r="E48" s="7" t="s">
        <v>196</v>
      </c>
      <c r="F48" s="6">
        <v>2</v>
      </c>
      <c r="G48" s="6">
        <v>1</v>
      </c>
      <c r="H48" s="8" t="s">
        <v>197</v>
      </c>
      <c r="I48" s="7" t="s">
        <v>14</v>
      </c>
      <c r="J48" s="11">
        <v>5</v>
      </c>
      <c r="K48" s="6">
        <f t="shared" si="0"/>
        <v>0.5</v>
      </c>
    </row>
    <row r="49" spans="1:11">
      <c r="A49" s="6">
        <v>48</v>
      </c>
      <c r="B49" s="7" t="s">
        <v>198</v>
      </c>
      <c r="C49" s="7" t="s">
        <v>199</v>
      </c>
      <c r="D49" s="7" t="s">
        <v>133</v>
      </c>
      <c r="E49" s="7" t="s">
        <v>200</v>
      </c>
      <c r="F49" s="6">
        <v>4</v>
      </c>
      <c r="G49" s="6">
        <v>2</v>
      </c>
      <c r="H49" s="8" t="s">
        <v>201</v>
      </c>
      <c r="I49" s="7" t="s">
        <v>14</v>
      </c>
      <c r="J49" s="11">
        <v>5</v>
      </c>
      <c r="K49" s="6">
        <f t="shared" si="0"/>
        <v>0.5</v>
      </c>
    </row>
    <row r="50" spans="1:11">
      <c r="A50" s="6">
        <v>49</v>
      </c>
      <c r="B50" s="7" t="s">
        <v>202</v>
      </c>
      <c r="C50" s="7" t="s">
        <v>203</v>
      </c>
      <c r="D50" s="7" t="s">
        <v>138</v>
      </c>
      <c r="E50" s="7" t="s">
        <v>204</v>
      </c>
      <c r="F50" s="6">
        <v>2</v>
      </c>
      <c r="G50" s="6">
        <v>4</v>
      </c>
      <c r="H50" s="8" t="s">
        <v>205</v>
      </c>
      <c r="I50" s="7" t="s">
        <v>14</v>
      </c>
      <c r="J50" s="11">
        <v>5</v>
      </c>
      <c r="K50" s="6">
        <f t="shared" si="0"/>
        <v>2</v>
      </c>
    </row>
    <row r="51" spans="1:11">
      <c r="A51" s="6">
        <v>50</v>
      </c>
      <c r="B51" s="7" t="s">
        <v>206</v>
      </c>
      <c r="C51" s="7" t="s">
        <v>207</v>
      </c>
      <c r="D51" s="7" t="s">
        <v>208</v>
      </c>
      <c r="E51" s="7" t="s">
        <v>209</v>
      </c>
      <c r="F51" s="6">
        <v>7</v>
      </c>
      <c r="G51" s="6">
        <v>1.5</v>
      </c>
      <c r="H51" s="8" t="s">
        <v>210</v>
      </c>
      <c r="I51" s="7" t="s">
        <v>14</v>
      </c>
      <c r="J51" s="11">
        <v>0</v>
      </c>
      <c r="K51" s="6">
        <f t="shared" si="0"/>
        <v>0.214285714285714</v>
      </c>
    </row>
    <row r="52" spans="1:11">
      <c r="A52" s="6">
        <v>51</v>
      </c>
      <c r="B52" s="7" t="s">
        <v>211</v>
      </c>
      <c r="C52" s="7" t="s">
        <v>212</v>
      </c>
      <c r="D52" s="7" t="s">
        <v>213</v>
      </c>
      <c r="E52" s="7" t="s">
        <v>214</v>
      </c>
      <c r="F52" s="6">
        <v>2</v>
      </c>
      <c r="G52" s="6">
        <v>0.5</v>
      </c>
      <c r="H52" s="8" t="s">
        <v>215</v>
      </c>
      <c r="I52" s="7" t="s">
        <v>108</v>
      </c>
      <c r="J52" s="11">
        <v>5</v>
      </c>
      <c r="K52" s="6">
        <f t="shared" si="0"/>
        <v>0.25</v>
      </c>
    </row>
    <row r="53" spans="1:11">
      <c r="A53" s="6">
        <v>52</v>
      </c>
      <c r="B53" s="7" t="s">
        <v>216</v>
      </c>
      <c r="C53" s="7" t="s">
        <v>217</v>
      </c>
      <c r="D53" s="7" t="s">
        <v>218</v>
      </c>
      <c r="E53" s="7" t="s">
        <v>219</v>
      </c>
      <c r="F53" s="6">
        <v>2</v>
      </c>
      <c r="G53" s="6">
        <v>1</v>
      </c>
      <c r="H53" s="8" t="s">
        <v>220</v>
      </c>
      <c r="I53" s="7" t="s">
        <v>14</v>
      </c>
      <c r="J53" s="11">
        <v>0</v>
      </c>
      <c r="K53" s="6">
        <f t="shared" si="0"/>
        <v>0.5</v>
      </c>
    </row>
    <row r="54" spans="1:11">
      <c r="A54" s="6">
        <v>53</v>
      </c>
      <c r="B54" s="7" t="s">
        <v>221</v>
      </c>
      <c r="C54" s="9" t="s">
        <v>222</v>
      </c>
      <c r="D54" s="7" t="s">
        <v>72</v>
      </c>
      <c r="E54" s="7" t="s">
        <v>223</v>
      </c>
      <c r="F54" s="6">
        <v>2</v>
      </c>
      <c r="G54" s="6">
        <v>1</v>
      </c>
      <c r="H54" s="8" t="s">
        <v>224</v>
      </c>
      <c r="I54" s="7" t="s">
        <v>14</v>
      </c>
      <c r="J54" s="12">
        <v>5</v>
      </c>
      <c r="K54" s="6">
        <f t="shared" si="0"/>
        <v>0.5</v>
      </c>
    </row>
    <row r="55" spans="1:11">
      <c r="A55" s="6">
        <v>54</v>
      </c>
      <c r="B55" s="7" t="s">
        <v>225</v>
      </c>
      <c r="C55" s="7" t="s">
        <v>226</v>
      </c>
      <c r="D55" s="7" t="s">
        <v>227</v>
      </c>
      <c r="E55" s="7" t="s">
        <v>228</v>
      </c>
      <c r="F55" s="6">
        <v>1</v>
      </c>
      <c r="G55" s="6">
        <v>1</v>
      </c>
      <c r="H55" s="8" t="s">
        <v>229</v>
      </c>
      <c r="I55" s="7" t="s">
        <v>14</v>
      </c>
      <c r="J55" s="11">
        <v>0</v>
      </c>
      <c r="K55" s="6">
        <f t="shared" si="0"/>
        <v>1</v>
      </c>
    </row>
    <row r="56" spans="1:11">
      <c r="A56" s="6">
        <v>55</v>
      </c>
      <c r="B56" s="7" t="s">
        <v>230</v>
      </c>
      <c r="C56" s="7" t="s">
        <v>231</v>
      </c>
      <c r="D56" s="7" t="s">
        <v>172</v>
      </c>
      <c r="E56" s="7" t="s">
        <v>232</v>
      </c>
      <c r="F56" s="6">
        <v>1</v>
      </c>
      <c r="G56" s="6">
        <v>1</v>
      </c>
      <c r="H56" s="8" t="s">
        <v>233</v>
      </c>
      <c r="I56" s="7" t="s">
        <v>14</v>
      </c>
      <c r="J56" s="11">
        <v>0</v>
      </c>
      <c r="K56" s="6">
        <f t="shared" si="0"/>
        <v>1</v>
      </c>
    </row>
    <row r="57" spans="1:11">
      <c r="A57" s="6">
        <v>56</v>
      </c>
      <c r="B57" s="7" t="s">
        <v>234</v>
      </c>
      <c r="C57" s="7" t="s">
        <v>235</v>
      </c>
      <c r="D57" s="7" t="s">
        <v>121</v>
      </c>
      <c r="E57" s="7" t="s">
        <v>236</v>
      </c>
      <c r="F57" s="6">
        <v>1</v>
      </c>
      <c r="G57" s="6">
        <v>4</v>
      </c>
      <c r="H57" s="8" t="s">
        <v>237</v>
      </c>
      <c r="I57" s="7" t="s">
        <v>14</v>
      </c>
      <c r="J57" s="11">
        <v>0</v>
      </c>
      <c r="K57" s="6">
        <f t="shared" si="0"/>
        <v>4</v>
      </c>
    </row>
    <row r="58" spans="1:11">
      <c r="A58" s="6">
        <v>57</v>
      </c>
      <c r="B58" s="7" t="s">
        <v>238</v>
      </c>
      <c r="C58" s="7" t="s">
        <v>239</v>
      </c>
      <c r="D58" s="7" t="s">
        <v>240</v>
      </c>
      <c r="E58" s="7" t="s">
        <v>241</v>
      </c>
      <c r="F58" s="6">
        <v>1</v>
      </c>
      <c r="G58" s="6">
        <v>1</v>
      </c>
      <c r="H58" s="8" t="s">
        <v>242</v>
      </c>
      <c r="I58" s="7" t="s">
        <v>14</v>
      </c>
      <c r="J58" s="11">
        <v>0</v>
      </c>
      <c r="K58" s="6">
        <f t="shared" si="0"/>
        <v>1</v>
      </c>
    </row>
    <row r="59" spans="1:11">
      <c r="A59" s="6">
        <v>59</v>
      </c>
      <c r="B59" s="7" t="s">
        <v>243</v>
      </c>
      <c r="C59" s="7" t="s">
        <v>244</v>
      </c>
      <c r="D59" s="7" t="s">
        <v>245</v>
      </c>
      <c r="E59" s="7" t="s">
        <v>246</v>
      </c>
      <c r="F59" s="6">
        <v>1</v>
      </c>
      <c r="G59" s="6">
        <v>1</v>
      </c>
      <c r="H59" s="8" t="s">
        <v>247</v>
      </c>
      <c r="I59" s="7" t="s">
        <v>14</v>
      </c>
      <c r="J59" s="12">
        <v>25</v>
      </c>
      <c r="K59" s="6">
        <f t="shared" si="0"/>
        <v>1</v>
      </c>
    </row>
    <row r="60" spans="1:11">
      <c r="A60" s="6">
        <v>60</v>
      </c>
      <c r="B60" s="7" t="s">
        <v>248</v>
      </c>
      <c r="C60" s="7" t="s">
        <v>249</v>
      </c>
      <c r="D60" s="7" t="s">
        <v>162</v>
      </c>
      <c r="E60" s="7" t="s">
        <v>250</v>
      </c>
      <c r="F60" s="6">
        <v>1</v>
      </c>
      <c r="G60" s="6">
        <v>2</v>
      </c>
      <c r="H60" s="8" t="s">
        <v>251</v>
      </c>
      <c r="I60" s="7" t="s">
        <v>14</v>
      </c>
      <c r="J60" s="11">
        <v>5</v>
      </c>
      <c r="K60" s="6">
        <f t="shared" si="0"/>
        <v>2</v>
      </c>
    </row>
    <row r="61" spans="1:11">
      <c r="A61" s="6">
        <v>61</v>
      </c>
      <c r="B61" s="7" t="s">
        <v>252</v>
      </c>
      <c r="C61" s="7" t="s">
        <v>253</v>
      </c>
      <c r="D61" s="7" t="s">
        <v>162</v>
      </c>
      <c r="E61" s="7" t="s">
        <v>254</v>
      </c>
      <c r="F61" s="6">
        <v>2</v>
      </c>
      <c r="G61" s="6">
        <v>2</v>
      </c>
      <c r="H61" s="8" t="s">
        <v>255</v>
      </c>
      <c r="I61" s="7" t="s">
        <v>14</v>
      </c>
      <c r="J61" s="11">
        <v>10</v>
      </c>
      <c r="K61" s="6">
        <f t="shared" si="0"/>
        <v>1</v>
      </c>
    </row>
    <row r="62" spans="1:11">
      <c r="A62" s="6">
        <v>62</v>
      </c>
      <c r="B62" s="7" t="s">
        <v>256</v>
      </c>
      <c r="C62" s="7" t="s">
        <v>257</v>
      </c>
      <c r="D62" s="7" t="s">
        <v>258</v>
      </c>
      <c r="E62" s="7" t="s">
        <v>259</v>
      </c>
      <c r="F62" s="6">
        <v>75</v>
      </c>
      <c r="G62" s="6">
        <v>2</v>
      </c>
      <c r="H62" s="8" t="s">
        <v>260</v>
      </c>
      <c r="I62" s="7" t="s">
        <v>14</v>
      </c>
      <c r="J62" s="11">
        <v>0</v>
      </c>
      <c r="K62" s="6">
        <f t="shared" si="0"/>
        <v>0.0266666666666667</v>
      </c>
    </row>
    <row r="63" spans="1:11">
      <c r="A63" s="6">
        <v>63</v>
      </c>
      <c r="B63" s="7" t="s">
        <v>261</v>
      </c>
      <c r="C63" s="7" t="s">
        <v>262</v>
      </c>
      <c r="D63" s="7" t="s">
        <v>263</v>
      </c>
      <c r="E63" s="7" t="s">
        <v>264</v>
      </c>
      <c r="F63" s="6">
        <v>20</v>
      </c>
      <c r="G63" s="6">
        <v>20</v>
      </c>
      <c r="H63" s="8" t="s">
        <v>265</v>
      </c>
      <c r="I63" s="7" t="s">
        <v>14</v>
      </c>
      <c r="J63" s="11">
        <v>0</v>
      </c>
      <c r="K63" s="6">
        <f t="shared" si="0"/>
        <v>1</v>
      </c>
    </row>
    <row r="64" spans="1:11">
      <c r="A64" s="6">
        <v>64</v>
      </c>
      <c r="B64" s="7" t="s">
        <v>266</v>
      </c>
      <c r="C64" s="7" t="s">
        <v>267</v>
      </c>
      <c r="D64" s="7" t="s">
        <v>138</v>
      </c>
      <c r="E64" s="7" t="s">
        <v>268</v>
      </c>
      <c r="F64" s="6">
        <v>1</v>
      </c>
      <c r="G64" s="6">
        <v>1</v>
      </c>
      <c r="H64" s="8" t="s">
        <v>269</v>
      </c>
      <c r="I64" s="7" t="s">
        <v>14</v>
      </c>
      <c r="J64" s="11">
        <v>10</v>
      </c>
      <c r="K64" s="6">
        <f t="shared" si="0"/>
        <v>1</v>
      </c>
    </row>
    <row r="65" spans="1:11">
      <c r="A65" s="6">
        <v>65</v>
      </c>
      <c r="B65" s="7" t="s">
        <v>270</v>
      </c>
      <c r="C65" s="7" t="s">
        <v>267</v>
      </c>
      <c r="D65" s="7" t="s">
        <v>271</v>
      </c>
      <c r="E65" s="7" t="s">
        <v>272</v>
      </c>
      <c r="F65" s="6">
        <v>1</v>
      </c>
      <c r="G65" s="6">
        <v>2</v>
      </c>
      <c r="H65" s="8" t="s">
        <v>273</v>
      </c>
      <c r="I65" s="7" t="s">
        <v>14</v>
      </c>
      <c r="J65" s="11">
        <v>10</v>
      </c>
      <c r="K65" s="6">
        <f t="shared" ref="K65:K104" si="1">G65/F65</f>
        <v>2</v>
      </c>
    </row>
    <row r="66" spans="1:11">
      <c r="A66" s="6">
        <v>66</v>
      </c>
      <c r="B66" s="7" t="s">
        <v>274</v>
      </c>
      <c r="C66" s="7" t="s">
        <v>275</v>
      </c>
      <c r="D66" s="7" t="s">
        <v>138</v>
      </c>
      <c r="E66" s="7" t="s">
        <v>276</v>
      </c>
      <c r="F66" s="6">
        <v>4</v>
      </c>
      <c r="G66" s="6">
        <v>1</v>
      </c>
      <c r="H66" s="8" t="s">
        <v>277</v>
      </c>
      <c r="I66" s="7" t="s">
        <v>14</v>
      </c>
      <c r="J66" s="11">
        <v>0</v>
      </c>
      <c r="K66" s="6">
        <f t="shared" si="1"/>
        <v>0.25</v>
      </c>
    </row>
    <row r="67" spans="1:11">
      <c r="A67" s="6">
        <v>67</v>
      </c>
      <c r="B67" s="7" t="s">
        <v>278</v>
      </c>
      <c r="C67" s="7" t="s">
        <v>279</v>
      </c>
      <c r="D67" s="7" t="s">
        <v>280</v>
      </c>
      <c r="E67" s="7" t="s">
        <v>281</v>
      </c>
      <c r="F67" s="6">
        <v>3</v>
      </c>
      <c r="G67" s="6">
        <v>2</v>
      </c>
      <c r="H67" s="8" t="s">
        <v>282</v>
      </c>
      <c r="I67" s="7" t="s">
        <v>14</v>
      </c>
      <c r="J67" s="11">
        <v>0</v>
      </c>
      <c r="K67" s="6">
        <f t="shared" si="1"/>
        <v>0.666666666666667</v>
      </c>
    </row>
    <row r="68" spans="1:11">
      <c r="A68" s="6">
        <v>68</v>
      </c>
      <c r="B68" s="7" t="s">
        <v>283</v>
      </c>
      <c r="C68" s="7" t="s">
        <v>284</v>
      </c>
      <c r="D68" s="7" t="s">
        <v>285</v>
      </c>
      <c r="E68" s="7" t="s">
        <v>286</v>
      </c>
      <c r="F68" s="6">
        <v>1</v>
      </c>
      <c r="G68" s="6">
        <v>1</v>
      </c>
      <c r="H68" s="8" t="s">
        <v>287</v>
      </c>
      <c r="I68" s="7" t="s">
        <v>14</v>
      </c>
      <c r="J68" s="11">
        <v>5</v>
      </c>
      <c r="K68" s="6">
        <f t="shared" si="1"/>
        <v>1</v>
      </c>
    </row>
    <row r="69" spans="1:11">
      <c r="A69" s="6">
        <v>69</v>
      </c>
      <c r="B69" s="7" t="s">
        <v>288</v>
      </c>
      <c r="C69" s="7" t="s">
        <v>289</v>
      </c>
      <c r="D69" s="7" t="s">
        <v>290</v>
      </c>
      <c r="E69" s="7" t="s">
        <v>291</v>
      </c>
      <c r="F69" s="6">
        <v>4</v>
      </c>
      <c r="G69" s="6">
        <v>4</v>
      </c>
      <c r="H69" s="8" t="s">
        <v>292</v>
      </c>
      <c r="I69" s="7" t="s">
        <v>14</v>
      </c>
      <c r="J69" s="11">
        <v>0</v>
      </c>
      <c r="K69" s="6">
        <f t="shared" si="1"/>
        <v>1</v>
      </c>
    </row>
    <row r="70" spans="1:11">
      <c r="A70" s="6">
        <v>70</v>
      </c>
      <c r="B70" s="7" t="s">
        <v>293</v>
      </c>
      <c r="C70" s="7" t="s">
        <v>294</v>
      </c>
      <c r="D70" s="7" t="s">
        <v>295</v>
      </c>
      <c r="E70" s="7" t="s">
        <v>296</v>
      </c>
      <c r="F70" s="6">
        <v>5</v>
      </c>
      <c r="G70" s="6">
        <v>0.005</v>
      </c>
      <c r="H70" s="8" t="s">
        <v>297</v>
      </c>
      <c r="I70" s="7" t="s">
        <v>108</v>
      </c>
      <c r="J70" s="11">
        <v>0</v>
      </c>
      <c r="K70" s="6">
        <f t="shared" si="1"/>
        <v>0.001</v>
      </c>
    </row>
    <row r="71" spans="1:11">
      <c r="A71" s="6">
        <v>71</v>
      </c>
      <c r="B71" s="7" t="s">
        <v>298</v>
      </c>
      <c r="C71" s="7" t="s">
        <v>299</v>
      </c>
      <c r="D71" s="7" t="s">
        <v>240</v>
      </c>
      <c r="E71" s="7" t="s">
        <v>300</v>
      </c>
      <c r="F71" s="6">
        <v>1</v>
      </c>
      <c r="G71" s="6">
        <v>0.5</v>
      </c>
      <c r="H71" s="8" t="s">
        <v>301</v>
      </c>
      <c r="I71" s="7" t="s">
        <v>14</v>
      </c>
      <c r="J71" s="11">
        <v>5</v>
      </c>
      <c r="K71" s="6">
        <f t="shared" si="1"/>
        <v>0.5</v>
      </c>
    </row>
    <row r="72" spans="1:11">
      <c r="A72" s="6">
        <v>72</v>
      </c>
      <c r="B72" s="7" t="s">
        <v>302</v>
      </c>
      <c r="C72" s="9" t="s">
        <v>303</v>
      </c>
      <c r="D72" s="7" t="s">
        <v>304</v>
      </c>
      <c r="E72" s="7" t="s">
        <v>305</v>
      </c>
      <c r="F72" s="6">
        <v>1</v>
      </c>
      <c r="G72" s="6">
        <v>1</v>
      </c>
      <c r="H72" s="8" t="s">
        <v>306</v>
      </c>
      <c r="I72" s="7" t="s">
        <v>14</v>
      </c>
      <c r="J72" s="11">
        <v>15</v>
      </c>
      <c r="K72" s="6">
        <f t="shared" si="1"/>
        <v>1</v>
      </c>
    </row>
    <row r="73" spans="1:11">
      <c r="A73" s="6">
        <v>73</v>
      </c>
      <c r="B73" s="7" t="s">
        <v>307</v>
      </c>
      <c r="C73" s="7" t="s">
        <v>308</v>
      </c>
      <c r="D73" s="7" t="s">
        <v>309</v>
      </c>
      <c r="E73" s="7" t="s">
        <v>310</v>
      </c>
      <c r="F73" s="6">
        <v>1</v>
      </c>
      <c r="G73" s="6">
        <v>9</v>
      </c>
      <c r="H73" s="8" t="s">
        <v>311</v>
      </c>
      <c r="I73" s="7" t="s">
        <v>108</v>
      </c>
      <c r="J73" s="12">
        <v>5</v>
      </c>
      <c r="K73" s="6">
        <f t="shared" si="1"/>
        <v>9</v>
      </c>
    </row>
    <row r="74" spans="1:11">
      <c r="A74" s="6">
        <v>74</v>
      </c>
      <c r="B74" s="7" t="s">
        <v>312</v>
      </c>
      <c r="C74" s="7" t="s">
        <v>308</v>
      </c>
      <c r="D74" s="7" t="s">
        <v>313</v>
      </c>
      <c r="E74" s="7" t="s">
        <v>314</v>
      </c>
      <c r="F74" s="6">
        <v>1</v>
      </c>
      <c r="G74" s="6">
        <v>4.5</v>
      </c>
      <c r="H74" s="8" t="s">
        <v>315</v>
      </c>
      <c r="I74" s="7" t="s">
        <v>108</v>
      </c>
      <c r="J74" s="12">
        <v>5</v>
      </c>
      <c r="K74" s="6">
        <f t="shared" si="1"/>
        <v>4.5</v>
      </c>
    </row>
    <row r="75" spans="1:11">
      <c r="A75" s="6">
        <v>75</v>
      </c>
      <c r="B75" s="7" t="s">
        <v>316</v>
      </c>
      <c r="C75" s="7" t="s">
        <v>317</v>
      </c>
      <c r="D75" s="7" t="s">
        <v>318</v>
      </c>
      <c r="E75" s="7" t="s">
        <v>319</v>
      </c>
      <c r="F75" s="6">
        <v>1</v>
      </c>
      <c r="G75" s="6">
        <v>27.25</v>
      </c>
      <c r="H75" s="8" t="s">
        <v>320</v>
      </c>
      <c r="I75" s="7" t="s">
        <v>108</v>
      </c>
      <c r="J75" s="11">
        <v>5</v>
      </c>
      <c r="K75" s="6">
        <f t="shared" si="1"/>
        <v>27.25</v>
      </c>
    </row>
    <row r="76" spans="1:11">
      <c r="A76" s="6">
        <v>76</v>
      </c>
      <c r="B76" s="7" t="s">
        <v>321</v>
      </c>
      <c r="C76" s="7" t="s">
        <v>308</v>
      </c>
      <c r="D76" s="7" t="s">
        <v>322</v>
      </c>
      <c r="E76" s="7" t="s">
        <v>323</v>
      </c>
      <c r="F76" s="6">
        <v>1</v>
      </c>
      <c r="G76" s="6">
        <v>2.25</v>
      </c>
      <c r="H76" s="8" t="s">
        <v>324</v>
      </c>
      <c r="I76" s="7" t="s">
        <v>108</v>
      </c>
      <c r="J76" s="11">
        <v>5</v>
      </c>
      <c r="K76" s="6">
        <f t="shared" si="1"/>
        <v>2.25</v>
      </c>
    </row>
    <row r="77" spans="1:11">
      <c r="A77" s="6">
        <v>77</v>
      </c>
      <c r="B77" s="7" t="s">
        <v>325</v>
      </c>
      <c r="C77" s="7" t="s">
        <v>326</v>
      </c>
      <c r="D77" s="7" t="s">
        <v>318</v>
      </c>
      <c r="E77" s="7" t="s">
        <v>319</v>
      </c>
      <c r="F77" s="6">
        <v>1</v>
      </c>
      <c r="G77" s="6">
        <v>27.25</v>
      </c>
      <c r="H77" s="8" t="s">
        <v>320</v>
      </c>
      <c r="I77" s="7" t="s">
        <v>108</v>
      </c>
      <c r="J77" s="11">
        <v>0</v>
      </c>
      <c r="K77" s="6">
        <f t="shared" si="1"/>
        <v>27.25</v>
      </c>
    </row>
    <row r="78" spans="1:11">
      <c r="A78" s="6">
        <v>78</v>
      </c>
      <c r="B78" s="7" t="s">
        <v>327</v>
      </c>
      <c r="C78" s="7" t="s">
        <v>328</v>
      </c>
      <c r="D78" s="7" t="s">
        <v>329</v>
      </c>
      <c r="E78" s="7" t="s">
        <v>330</v>
      </c>
      <c r="F78" s="6">
        <v>1</v>
      </c>
      <c r="G78" s="6">
        <v>6</v>
      </c>
      <c r="H78" s="8" t="s">
        <v>331</v>
      </c>
      <c r="I78" s="7" t="s">
        <v>108</v>
      </c>
      <c r="J78" s="11">
        <v>5</v>
      </c>
      <c r="K78" s="6">
        <f t="shared" si="1"/>
        <v>6</v>
      </c>
    </row>
    <row r="79" spans="1:11">
      <c r="A79" s="6">
        <v>79</v>
      </c>
      <c r="B79" s="7" t="s">
        <v>332</v>
      </c>
      <c r="C79" s="7" t="s">
        <v>333</v>
      </c>
      <c r="D79" s="7" t="s">
        <v>190</v>
      </c>
      <c r="E79" s="7" t="s">
        <v>334</v>
      </c>
      <c r="F79" s="6">
        <v>1</v>
      </c>
      <c r="G79" s="6">
        <v>2</v>
      </c>
      <c r="H79" s="8" t="s">
        <v>335</v>
      </c>
      <c r="I79" s="7" t="s">
        <v>14</v>
      </c>
      <c r="J79" s="12">
        <v>125</v>
      </c>
      <c r="K79" s="6">
        <f t="shared" si="1"/>
        <v>2</v>
      </c>
    </row>
    <row r="80" spans="1:11">
      <c r="A80" s="6">
        <v>80</v>
      </c>
      <c r="B80" s="7" t="s">
        <v>336</v>
      </c>
      <c r="C80" s="7" t="s">
        <v>337</v>
      </c>
      <c r="D80" s="6"/>
      <c r="E80" s="7" t="s">
        <v>338</v>
      </c>
      <c r="F80" s="6">
        <v>1</v>
      </c>
      <c r="G80" s="6">
        <v>1</v>
      </c>
      <c r="H80" s="8" t="s">
        <v>339</v>
      </c>
      <c r="I80" s="7" t="s">
        <v>14</v>
      </c>
      <c r="J80" s="12">
        <v>5</v>
      </c>
      <c r="K80" s="6">
        <f t="shared" si="1"/>
        <v>1</v>
      </c>
    </row>
    <row r="81" spans="1:11">
      <c r="A81" s="6">
        <v>81</v>
      </c>
      <c r="B81" s="7" t="s">
        <v>340</v>
      </c>
      <c r="C81" s="7" t="s">
        <v>341</v>
      </c>
      <c r="D81" s="7" t="s">
        <v>342</v>
      </c>
      <c r="E81" s="7" t="s">
        <v>343</v>
      </c>
      <c r="F81" s="6">
        <v>1</v>
      </c>
      <c r="G81" s="6">
        <v>3</v>
      </c>
      <c r="H81" s="8" t="s">
        <v>344</v>
      </c>
      <c r="I81" s="7" t="s">
        <v>14</v>
      </c>
      <c r="J81" s="11">
        <v>5</v>
      </c>
      <c r="K81" s="6">
        <f t="shared" si="1"/>
        <v>3</v>
      </c>
    </row>
    <row r="82" spans="1:11">
      <c r="A82" s="6">
        <v>82</v>
      </c>
      <c r="B82" s="7" t="s">
        <v>345</v>
      </c>
      <c r="C82" s="7" t="s">
        <v>346</v>
      </c>
      <c r="D82" s="7" t="s">
        <v>347</v>
      </c>
      <c r="E82" s="7" t="s">
        <v>348</v>
      </c>
      <c r="F82" s="6">
        <v>1</v>
      </c>
      <c r="G82" s="6">
        <v>3</v>
      </c>
      <c r="H82" s="8" t="s">
        <v>349</v>
      </c>
      <c r="I82" s="7" t="s">
        <v>14</v>
      </c>
      <c r="J82" s="11">
        <v>5</v>
      </c>
      <c r="K82" s="6">
        <f t="shared" si="1"/>
        <v>3</v>
      </c>
    </row>
    <row r="83" spans="1:11">
      <c r="A83" s="6">
        <v>83</v>
      </c>
      <c r="B83" s="7" t="s">
        <v>350</v>
      </c>
      <c r="C83" s="7" t="s">
        <v>351</v>
      </c>
      <c r="D83" s="7" t="s">
        <v>218</v>
      </c>
      <c r="E83" s="7" t="s">
        <v>352</v>
      </c>
      <c r="F83" s="6">
        <v>1</v>
      </c>
      <c r="G83" s="6">
        <v>3</v>
      </c>
      <c r="H83" s="8" t="s">
        <v>353</v>
      </c>
      <c r="I83" s="7" t="s">
        <v>14</v>
      </c>
      <c r="J83" s="11">
        <v>0</v>
      </c>
      <c r="K83" s="6">
        <f t="shared" si="1"/>
        <v>3</v>
      </c>
    </row>
    <row r="84" spans="1:11">
      <c r="A84" s="6">
        <v>84</v>
      </c>
      <c r="B84" s="7" t="s">
        <v>354</v>
      </c>
      <c r="C84" s="7" t="s">
        <v>355</v>
      </c>
      <c r="D84" s="7" t="s">
        <v>218</v>
      </c>
      <c r="E84" s="7" t="s">
        <v>356</v>
      </c>
      <c r="F84" s="6">
        <v>1</v>
      </c>
      <c r="G84" s="6">
        <v>2.5</v>
      </c>
      <c r="H84" s="8" t="s">
        <v>357</v>
      </c>
      <c r="I84" s="7" t="s">
        <v>14</v>
      </c>
      <c r="J84" s="11">
        <v>5</v>
      </c>
      <c r="K84" s="6">
        <f t="shared" si="1"/>
        <v>2.5</v>
      </c>
    </row>
    <row r="85" spans="1:11">
      <c r="A85" s="6">
        <v>85</v>
      </c>
      <c r="B85" s="7" t="s">
        <v>358</v>
      </c>
      <c r="C85" s="7" t="s">
        <v>207</v>
      </c>
      <c r="D85" s="7" t="s">
        <v>359</v>
      </c>
      <c r="E85" s="7" t="s">
        <v>209</v>
      </c>
      <c r="F85" s="6">
        <v>3</v>
      </c>
      <c r="G85" s="6">
        <v>1.5</v>
      </c>
      <c r="H85" s="8" t="s">
        <v>210</v>
      </c>
      <c r="I85" s="7" t="s">
        <v>14</v>
      </c>
      <c r="J85" s="12">
        <v>325</v>
      </c>
      <c r="K85" s="6">
        <f t="shared" si="1"/>
        <v>0.5</v>
      </c>
    </row>
    <row r="86" spans="1:11">
      <c r="A86" s="6">
        <v>86</v>
      </c>
      <c r="B86" s="7" t="s">
        <v>360</v>
      </c>
      <c r="C86" s="7" t="s">
        <v>361</v>
      </c>
      <c r="D86" s="7" t="s">
        <v>362</v>
      </c>
      <c r="E86" s="7" t="s">
        <v>363</v>
      </c>
      <c r="F86" s="6">
        <v>1</v>
      </c>
      <c r="G86" s="6">
        <v>1</v>
      </c>
      <c r="H86" s="8" t="s">
        <v>364</v>
      </c>
      <c r="I86" s="7" t="s">
        <v>14</v>
      </c>
      <c r="J86" s="11">
        <v>0</v>
      </c>
      <c r="K86" s="6">
        <f t="shared" si="1"/>
        <v>1</v>
      </c>
    </row>
    <row r="87" spans="1:11">
      <c r="A87" s="6">
        <v>87</v>
      </c>
      <c r="B87" s="7" t="s">
        <v>365</v>
      </c>
      <c r="C87" s="7" t="s">
        <v>366</v>
      </c>
      <c r="D87" s="6">
        <v>1</v>
      </c>
      <c r="E87" s="7" t="s">
        <v>367</v>
      </c>
      <c r="F87" s="6">
        <v>1</v>
      </c>
      <c r="G87" s="6">
        <v>0.5</v>
      </c>
      <c r="H87" s="8" t="s">
        <v>368</v>
      </c>
      <c r="I87" s="7" t="s">
        <v>14</v>
      </c>
      <c r="J87" s="11">
        <v>0</v>
      </c>
      <c r="K87" s="6">
        <f t="shared" si="1"/>
        <v>0.5</v>
      </c>
    </row>
    <row r="88" spans="1:11">
      <c r="A88" s="6">
        <v>88</v>
      </c>
      <c r="B88" s="7" t="s">
        <v>369</v>
      </c>
      <c r="C88" s="7" t="s">
        <v>20</v>
      </c>
      <c r="D88" s="6">
        <v>1</v>
      </c>
      <c r="E88" s="7" t="s">
        <v>370</v>
      </c>
      <c r="F88" s="6">
        <v>1</v>
      </c>
      <c r="G88" s="6">
        <v>0.5</v>
      </c>
      <c r="H88" s="8" t="s">
        <v>371</v>
      </c>
      <c r="I88" s="7" t="s">
        <v>14</v>
      </c>
      <c r="J88" s="11">
        <v>0</v>
      </c>
      <c r="K88" s="6">
        <f t="shared" si="1"/>
        <v>0.5</v>
      </c>
    </row>
    <row r="89" spans="1:11">
      <c r="A89" s="6">
        <v>89</v>
      </c>
      <c r="B89" s="7" t="s">
        <v>372</v>
      </c>
      <c r="C89" s="7" t="s">
        <v>373</v>
      </c>
      <c r="D89" s="7" t="s">
        <v>190</v>
      </c>
      <c r="E89" s="7" t="s">
        <v>374</v>
      </c>
      <c r="F89" s="6">
        <v>1</v>
      </c>
      <c r="G89" s="6">
        <v>2</v>
      </c>
      <c r="H89" s="8" t="s">
        <v>375</v>
      </c>
      <c r="I89" s="7" t="s">
        <v>14</v>
      </c>
      <c r="J89" s="12">
        <v>55</v>
      </c>
      <c r="K89" s="6">
        <f t="shared" si="1"/>
        <v>2</v>
      </c>
    </row>
    <row r="90" spans="1:11">
      <c r="A90" s="6">
        <v>90</v>
      </c>
      <c r="B90" s="7" t="s">
        <v>376</v>
      </c>
      <c r="C90" s="7" t="s">
        <v>377</v>
      </c>
      <c r="D90" s="7" t="s">
        <v>82</v>
      </c>
      <c r="E90" s="7" t="s">
        <v>378</v>
      </c>
      <c r="F90" s="6">
        <v>1</v>
      </c>
      <c r="G90" s="6">
        <v>100</v>
      </c>
      <c r="H90" s="8" t="s">
        <v>379</v>
      </c>
      <c r="I90" s="7" t="s">
        <v>14</v>
      </c>
      <c r="J90" s="11">
        <v>0</v>
      </c>
      <c r="K90" s="6">
        <f t="shared" si="1"/>
        <v>100</v>
      </c>
    </row>
    <row r="91" spans="1:11">
      <c r="A91" s="6">
        <v>91</v>
      </c>
      <c r="B91" s="7" t="s">
        <v>380</v>
      </c>
      <c r="C91" s="7" t="s">
        <v>381</v>
      </c>
      <c r="D91" s="7" t="s">
        <v>382</v>
      </c>
      <c r="E91" s="7" t="s">
        <v>383</v>
      </c>
      <c r="F91" s="6">
        <v>2</v>
      </c>
      <c r="G91" s="6">
        <v>100</v>
      </c>
      <c r="H91" s="8" t="s">
        <v>384</v>
      </c>
      <c r="I91" s="7" t="s">
        <v>14</v>
      </c>
      <c r="J91" s="11">
        <v>0</v>
      </c>
      <c r="K91" s="6">
        <f t="shared" si="1"/>
        <v>50</v>
      </c>
    </row>
    <row r="92" spans="1:11">
      <c r="A92" s="6">
        <v>92</v>
      </c>
      <c r="B92" s="6">
        <v>90696</v>
      </c>
      <c r="C92" s="6"/>
      <c r="D92" s="6"/>
      <c r="E92" s="7" t="s">
        <v>385</v>
      </c>
      <c r="F92" s="6">
        <v>1</v>
      </c>
      <c r="G92" s="6">
        <v>1</v>
      </c>
      <c r="H92" s="8" t="s">
        <v>386</v>
      </c>
      <c r="I92" s="7" t="s">
        <v>14</v>
      </c>
      <c r="J92" s="12">
        <v>65</v>
      </c>
      <c r="K92" s="6">
        <f t="shared" si="1"/>
        <v>1</v>
      </c>
    </row>
    <row r="93" spans="1:11">
      <c r="A93" s="6">
        <v>93</v>
      </c>
      <c r="B93" s="6">
        <v>90472</v>
      </c>
      <c r="C93" s="6"/>
      <c r="D93" s="6"/>
      <c r="E93" s="7" t="s">
        <v>387</v>
      </c>
      <c r="F93" s="6">
        <v>1</v>
      </c>
      <c r="G93" s="6">
        <v>1</v>
      </c>
      <c r="H93" s="8" t="s">
        <v>388</v>
      </c>
      <c r="I93" s="7" t="s">
        <v>14</v>
      </c>
      <c r="J93" s="11">
        <v>0</v>
      </c>
      <c r="K93" s="6">
        <f t="shared" si="1"/>
        <v>1</v>
      </c>
    </row>
    <row r="94" spans="1:11">
      <c r="A94" s="6">
        <v>94</v>
      </c>
      <c r="B94" s="6">
        <v>90620</v>
      </c>
      <c r="C94" s="6"/>
      <c r="D94" s="6"/>
      <c r="E94" s="7" t="s">
        <v>389</v>
      </c>
      <c r="F94" s="6">
        <v>1</v>
      </c>
      <c r="G94" s="6">
        <v>1</v>
      </c>
      <c r="H94" s="8" t="s">
        <v>390</v>
      </c>
      <c r="I94" s="7" t="s">
        <v>14</v>
      </c>
      <c r="J94" s="11">
        <v>0</v>
      </c>
      <c r="K94" s="6">
        <f t="shared" si="1"/>
        <v>1</v>
      </c>
    </row>
    <row r="95" spans="1:11">
      <c r="A95" s="6">
        <v>95</v>
      </c>
      <c r="B95" s="6">
        <v>90750</v>
      </c>
      <c r="C95" s="6"/>
      <c r="D95" s="6"/>
      <c r="E95" s="6"/>
      <c r="F95" s="6">
        <v>1</v>
      </c>
      <c r="G95" s="6">
        <v>0.5</v>
      </c>
      <c r="H95" s="8" t="s">
        <v>391</v>
      </c>
      <c r="I95" s="7" t="s">
        <v>14</v>
      </c>
      <c r="J95" s="12">
        <v>235</v>
      </c>
      <c r="K95" s="6">
        <f t="shared" si="1"/>
        <v>0.5</v>
      </c>
    </row>
    <row r="96" spans="1:11">
      <c r="A96" s="6">
        <v>96</v>
      </c>
      <c r="B96" s="7" t="s">
        <v>392</v>
      </c>
      <c r="C96" s="7" t="s">
        <v>393</v>
      </c>
      <c r="D96" s="7" t="s">
        <v>394</v>
      </c>
      <c r="E96" s="7" t="s">
        <v>395</v>
      </c>
      <c r="F96" s="6">
        <v>1</v>
      </c>
      <c r="G96" s="6">
        <v>1</v>
      </c>
      <c r="H96" s="8" t="s">
        <v>396</v>
      </c>
      <c r="I96" s="7" t="s">
        <v>14</v>
      </c>
      <c r="J96" s="11">
        <v>10</v>
      </c>
      <c r="K96" s="6">
        <f t="shared" si="1"/>
        <v>1</v>
      </c>
    </row>
    <row r="97" spans="1:11">
      <c r="A97" s="6">
        <v>97</v>
      </c>
      <c r="B97" s="7" t="s">
        <v>397</v>
      </c>
      <c r="C97" s="7" t="s">
        <v>398</v>
      </c>
      <c r="D97" s="6"/>
      <c r="E97" s="6"/>
      <c r="F97" s="6">
        <v>1</v>
      </c>
      <c r="G97" s="6">
        <v>1</v>
      </c>
      <c r="H97" s="6">
        <v>63323001301</v>
      </c>
      <c r="I97" s="7" t="s">
        <v>14</v>
      </c>
      <c r="J97" s="11">
        <v>10</v>
      </c>
      <c r="K97" s="6">
        <f t="shared" si="1"/>
        <v>1</v>
      </c>
    </row>
    <row r="98" spans="1:11">
      <c r="A98" s="6">
        <v>98</v>
      </c>
      <c r="B98" s="7" t="s">
        <v>399</v>
      </c>
      <c r="C98" s="7" t="s">
        <v>400</v>
      </c>
      <c r="D98" s="6"/>
      <c r="E98" s="6"/>
      <c r="F98" s="6">
        <v>1</v>
      </c>
      <c r="G98" s="6">
        <v>1</v>
      </c>
      <c r="H98" s="8" t="s">
        <v>401</v>
      </c>
      <c r="I98" s="7" t="s">
        <v>14</v>
      </c>
      <c r="J98" s="11">
        <v>240</v>
      </c>
      <c r="K98" s="6">
        <f t="shared" si="1"/>
        <v>1</v>
      </c>
    </row>
    <row r="99" spans="1:11">
      <c r="A99" s="6">
        <v>99</v>
      </c>
      <c r="B99" s="7" t="s">
        <v>402</v>
      </c>
      <c r="C99" s="7" t="s">
        <v>403</v>
      </c>
      <c r="D99" s="6"/>
      <c r="E99" s="6"/>
      <c r="F99" s="6">
        <v>1</v>
      </c>
      <c r="G99" s="6">
        <v>1</v>
      </c>
      <c r="H99" s="8" t="s">
        <v>404</v>
      </c>
      <c r="I99" s="7" t="s">
        <v>14</v>
      </c>
      <c r="J99" s="11">
        <v>5</v>
      </c>
      <c r="K99" s="6">
        <f t="shared" si="1"/>
        <v>1</v>
      </c>
    </row>
    <row r="100" spans="1:11">
      <c r="A100" s="6">
        <v>100</v>
      </c>
      <c r="B100" s="7" t="s">
        <v>405</v>
      </c>
      <c r="C100" s="7" t="s">
        <v>406</v>
      </c>
      <c r="D100" s="6"/>
      <c r="E100" s="6"/>
      <c r="F100" s="6">
        <v>1</v>
      </c>
      <c r="G100" s="6">
        <v>1</v>
      </c>
      <c r="H100" s="6">
        <v>51662141003</v>
      </c>
      <c r="I100" s="7" t="s">
        <v>14</v>
      </c>
      <c r="J100" s="11">
        <v>15</v>
      </c>
      <c r="K100" s="6">
        <f t="shared" si="1"/>
        <v>1</v>
      </c>
    </row>
    <row r="101" spans="1:11">
      <c r="A101" s="6">
        <v>101</v>
      </c>
      <c r="B101" s="7" t="s">
        <v>407</v>
      </c>
      <c r="C101" s="7" t="s">
        <v>408</v>
      </c>
      <c r="D101" s="6"/>
      <c r="E101" s="6"/>
      <c r="F101" s="6">
        <v>1</v>
      </c>
      <c r="G101" s="6">
        <v>1</v>
      </c>
      <c r="H101" s="8" t="s">
        <v>409</v>
      </c>
      <c r="I101" s="7" t="s">
        <v>14</v>
      </c>
      <c r="J101" s="12">
        <v>65</v>
      </c>
      <c r="K101" s="6">
        <f t="shared" si="1"/>
        <v>1</v>
      </c>
    </row>
    <row r="102" spans="1:11">
      <c r="A102" s="6">
        <v>102</v>
      </c>
      <c r="B102" s="6">
        <v>90710</v>
      </c>
      <c r="C102" s="6"/>
      <c r="D102" s="6"/>
      <c r="E102" s="6"/>
      <c r="F102" s="6">
        <v>1</v>
      </c>
      <c r="G102" s="6">
        <v>1</v>
      </c>
      <c r="H102" s="8" t="s">
        <v>410</v>
      </c>
      <c r="I102" s="7" t="s">
        <v>14</v>
      </c>
      <c r="J102" s="12">
        <v>25</v>
      </c>
      <c r="K102" s="6">
        <f t="shared" si="1"/>
        <v>1</v>
      </c>
    </row>
    <row r="103" spans="1:11">
      <c r="A103" s="6">
        <v>103</v>
      </c>
      <c r="B103" s="7" t="s">
        <v>411</v>
      </c>
      <c r="C103" s="7" t="s">
        <v>412</v>
      </c>
      <c r="D103" s="6"/>
      <c r="E103" s="6"/>
      <c r="F103" s="6">
        <v>1</v>
      </c>
      <c r="G103" s="6">
        <v>1</v>
      </c>
      <c r="H103" s="8" t="s">
        <v>413</v>
      </c>
      <c r="I103" s="7" t="s">
        <v>14</v>
      </c>
      <c r="J103" s="11">
        <v>0</v>
      </c>
      <c r="K103" s="6">
        <f t="shared" si="1"/>
        <v>1</v>
      </c>
    </row>
    <row r="104" spans="1:11">
      <c r="A104" s="6">
        <v>104</v>
      </c>
      <c r="B104" s="6">
        <v>90651</v>
      </c>
      <c r="C104" s="6"/>
      <c r="D104" s="6"/>
      <c r="E104" s="6"/>
      <c r="F104" s="6">
        <v>1</v>
      </c>
      <c r="G104" s="6">
        <v>0.5</v>
      </c>
      <c r="H104" s="8" t="s">
        <v>414</v>
      </c>
      <c r="I104" s="7" t="s">
        <v>14</v>
      </c>
      <c r="J104" s="11">
        <v>375</v>
      </c>
      <c r="K104" s="6">
        <f t="shared" si="1"/>
        <v>0.5</v>
      </c>
    </row>
    <row r="105" spans="1:11">
      <c r="A105" s="6">
        <v>105</v>
      </c>
      <c r="B105" s="7" t="s">
        <v>415</v>
      </c>
      <c r="C105" s="7" t="s">
        <v>416</v>
      </c>
      <c r="D105" s="6"/>
      <c r="E105" s="7" t="s">
        <v>417</v>
      </c>
      <c r="F105" s="6">
        <v>1</v>
      </c>
      <c r="G105" s="6">
        <v>1</v>
      </c>
      <c r="H105" s="8" t="s">
        <v>418</v>
      </c>
      <c r="I105" s="7" t="s">
        <v>14</v>
      </c>
      <c r="J105" s="11">
        <v>10</v>
      </c>
      <c r="K105" s="6">
        <f t="shared" ref="K105" si="2">G105/F105</f>
        <v>1</v>
      </c>
    </row>
    <row r="106" spans="1:11">
      <c r="A106" s="6">
        <v>106</v>
      </c>
      <c r="B106" s="7" t="s">
        <v>419</v>
      </c>
      <c r="C106" s="7" t="s">
        <v>420</v>
      </c>
      <c r="D106" s="6"/>
      <c r="E106" s="6"/>
      <c r="F106" s="6">
        <v>1</v>
      </c>
      <c r="G106" s="6">
        <v>1</v>
      </c>
      <c r="H106" s="8" t="s">
        <v>421</v>
      </c>
      <c r="I106" s="7" t="s">
        <v>14</v>
      </c>
      <c r="J106" s="11">
        <v>0</v>
      </c>
      <c r="K106" s="6">
        <v>1</v>
      </c>
    </row>
    <row r="107" spans="1:11">
      <c r="A107" s="6">
        <v>107</v>
      </c>
      <c r="B107" s="7" t="s">
        <v>422</v>
      </c>
      <c r="C107" s="7" t="s">
        <v>423</v>
      </c>
      <c r="D107" s="6"/>
      <c r="E107" s="6"/>
      <c r="F107" s="6">
        <v>1</v>
      </c>
      <c r="G107" s="6">
        <v>1</v>
      </c>
      <c r="H107" s="8" t="s">
        <v>424</v>
      </c>
      <c r="I107" s="7" t="s">
        <v>14</v>
      </c>
      <c r="J107" s="12">
        <v>5</v>
      </c>
      <c r="K107" s="6">
        <v>1</v>
      </c>
    </row>
    <row r="108" spans="1:11">
      <c r="A108" s="6">
        <v>108</v>
      </c>
      <c r="B108" s="7" t="s">
        <v>425</v>
      </c>
      <c r="C108" s="7" t="s">
        <v>426</v>
      </c>
      <c r="D108" s="6"/>
      <c r="E108" s="6"/>
      <c r="F108" s="6">
        <v>1</v>
      </c>
      <c r="G108" s="6">
        <v>1</v>
      </c>
      <c r="H108" s="8" t="s">
        <v>427</v>
      </c>
      <c r="I108" s="7" t="s">
        <v>14</v>
      </c>
      <c r="J108" s="12">
        <v>25</v>
      </c>
      <c r="K108" s="6">
        <v>1</v>
      </c>
    </row>
    <row r="109" spans="1:11">
      <c r="A109" s="6">
        <v>109</v>
      </c>
      <c r="B109" s="7" t="s">
        <v>428</v>
      </c>
      <c r="C109" s="7" t="s">
        <v>429</v>
      </c>
      <c r="D109" s="6"/>
      <c r="E109" s="7" t="s">
        <v>430</v>
      </c>
      <c r="F109" s="6">
        <v>1</v>
      </c>
      <c r="G109" s="6">
        <v>1</v>
      </c>
      <c r="H109" s="8" t="s">
        <v>431</v>
      </c>
      <c r="I109" s="7" t="s">
        <v>14</v>
      </c>
      <c r="J109" s="12">
        <v>0.01</v>
      </c>
      <c r="K109" s="6">
        <v>1</v>
      </c>
    </row>
    <row r="110" spans="1:11">
      <c r="A110" s="6">
        <v>110</v>
      </c>
      <c r="B110" s="7" t="s">
        <v>432</v>
      </c>
      <c r="C110" s="7" t="s">
        <v>433</v>
      </c>
      <c r="D110" s="6"/>
      <c r="E110" s="7" t="s">
        <v>434</v>
      </c>
      <c r="F110" s="6">
        <v>1</v>
      </c>
      <c r="G110" s="6">
        <v>1</v>
      </c>
      <c r="H110" s="8" t="s">
        <v>435</v>
      </c>
      <c r="I110" s="7" t="s">
        <v>14</v>
      </c>
      <c r="J110" s="12">
        <v>20</v>
      </c>
      <c r="K110" s="6">
        <v>1</v>
      </c>
    </row>
    <row r="111" spans="1:11">
      <c r="A111" s="6">
        <v>111</v>
      </c>
      <c r="B111" s="7" t="s">
        <v>436</v>
      </c>
      <c r="C111" s="7" t="s">
        <v>437</v>
      </c>
      <c r="D111" s="6"/>
      <c r="E111" s="7" t="s">
        <v>438</v>
      </c>
      <c r="F111" s="6">
        <v>1</v>
      </c>
      <c r="G111" s="6">
        <v>1</v>
      </c>
      <c r="H111" s="8" t="s">
        <v>439</v>
      </c>
      <c r="I111" s="7" t="s">
        <v>14</v>
      </c>
      <c r="J111" s="11">
        <v>70</v>
      </c>
      <c r="K111" s="6">
        <v>1</v>
      </c>
    </row>
    <row r="112" spans="1:11">
      <c r="A112" s="6">
        <v>112</v>
      </c>
      <c r="B112" s="7" t="s">
        <v>440</v>
      </c>
      <c r="C112" s="7" t="s">
        <v>441</v>
      </c>
      <c r="D112" s="6"/>
      <c r="E112" s="7" t="s">
        <v>442</v>
      </c>
      <c r="F112" s="6">
        <v>1</v>
      </c>
      <c r="G112" s="6">
        <v>1</v>
      </c>
      <c r="H112" s="8" t="s">
        <v>443</v>
      </c>
      <c r="I112" s="7" t="s">
        <v>14</v>
      </c>
      <c r="J112" s="12">
        <v>0.01</v>
      </c>
      <c r="K112" s="6">
        <v>1</v>
      </c>
    </row>
    <row r="113" spans="1:11">
      <c r="A113" s="6">
        <v>113</v>
      </c>
      <c r="B113" s="7" t="s">
        <v>444</v>
      </c>
      <c r="C113" s="7" t="s">
        <v>445</v>
      </c>
      <c r="D113" s="6"/>
      <c r="E113" s="7" t="s">
        <v>446</v>
      </c>
      <c r="F113" s="6">
        <v>1</v>
      </c>
      <c r="G113" s="6">
        <v>1</v>
      </c>
      <c r="H113" s="8" t="s">
        <v>447</v>
      </c>
      <c r="I113" s="7" t="s">
        <v>14</v>
      </c>
      <c r="J113" s="12">
        <v>30</v>
      </c>
      <c r="K113" s="6">
        <v>1</v>
      </c>
    </row>
    <row r="114" spans="1:11">
      <c r="A114" s="6">
        <v>114</v>
      </c>
      <c r="B114" s="7" t="s">
        <v>448</v>
      </c>
      <c r="C114" s="7" t="s">
        <v>449</v>
      </c>
      <c r="D114" s="6"/>
      <c r="E114" s="7" t="s">
        <v>450</v>
      </c>
      <c r="F114" s="6">
        <v>5</v>
      </c>
      <c r="G114" s="6">
        <v>1</v>
      </c>
      <c r="H114" s="8" t="s">
        <v>451</v>
      </c>
      <c r="I114" s="7" t="s">
        <v>14</v>
      </c>
      <c r="J114" s="12">
        <v>0</v>
      </c>
      <c r="K114" s="6">
        <v>0.8</v>
      </c>
    </row>
    <row r="115" spans="1:11">
      <c r="A115" s="6">
        <v>115</v>
      </c>
      <c r="B115" s="7" t="s">
        <v>452</v>
      </c>
      <c r="C115" s="7" t="s">
        <v>453</v>
      </c>
      <c r="D115" s="6"/>
      <c r="E115" s="7" t="s">
        <v>454</v>
      </c>
      <c r="F115" s="6">
        <v>2</v>
      </c>
      <c r="G115" s="6">
        <v>1</v>
      </c>
      <c r="H115" s="6">
        <v>69097087067</v>
      </c>
      <c r="I115" s="7" t="s">
        <v>14</v>
      </c>
      <c r="J115" s="12">
        <v>0</v>
      </c>
      <c r="K115" s="6">
        <v>0.5</v>
      </c>
    </row>
    <row r="116" spans="1:11">
      <c r="A116" s="6">
        <v>116</v>
      </c>
      <c r="B116" s="6">
        <v>90734</v>
      </c>
      <c r="C116" s="6"/>
      <c r="D116" s="6"/>
      <c r="E116" s="8" t="s">
        <v>455</v>
      </c>
      <c r="F116" s="6">
        <v>1</v>
      </c>
      <c r="G116" s="6">
        <v>0.5</v>
      </c>
      <c r="H116" s="8" t="s">
        <v>456</v>
      </c>
      <c r="I116" s="7" t="s">
        <v>14</v>
      </c>
      <c r="J116" s="11">
        <v>0</v>
      </c>
      <c r="K116" s="6">
        <f t="shared" ref="K116" si="3">G116/F116</f>
        <v>0.5</v>
      </c>
    </row>
    <row r="117" spans="1:11">
      <c r="A117" s="6">
        <v>117</v>
      </c>
      <c r="B117" s="7" t="s">
        <v>457</v>
      </c>
      <c r="C117" s="13" t="s">
        <v>458</v>
      </c>
      <c r="D117" s="6"/>
      <c r="E117" s="8" t="s">
        <v>459</v>
      </c>
      <c r="F117" s="6">
        <v>1</v>
      </c>
      <c r="G117" s="6">
        <v>1</v>
      </c>
      <c r="H117" s="8" t="s">
        <v>460</v>
      </c>
      <c r="I117" s="14" t="s">
        <v>14</v>
      </c>
      <c r="J117" s="15">
        <v>0</v>
      </c>
      <c r="K117" s="6">
        <v>1</v>
      </c>
    </row>
    <row r="118" spans="1:11">
      <c r="A118" s="6">
        <v>118</v>
      </c>
      <c r="B118" s="7" t="s">
        <v>461</v>
      </c>
      <c r="C118" s="13" t="s">
        <v>462</v>
      </c>
      <c r="D118" s="6"/>
      <c r="E118" s="8" t="s">
        <v>463</v>
      </c>
      <c r="F118" s="6">
        <v>1</v>
      </c>
      <c r="G118" s="6">
        <v>1</v>
      </c>
      <c r="H118" s="8" t="s">
        <v>464</v>
      </c>
      <c r="I118" s="14" t="s">
        <v>14</v>
      </c>
      <c r="J118" s="15">
        <v>0</v>
      </c>
      <c r="K118" s="6">
        <v>1</v>
      </c>
    </row>
    <row r="119" spans="1:11">
      <c r="A119" s="6">
        <v>119</v>
      </c>
      <c r="B119" s="7" t="s">
        <v>465</v>
      </c>
      <c r="C119" s="13" t="s">
        <v>466</v>
      </c>
      <c r="D119" s="6"/>
      <c r="E119" s="8" t="s">
        <v>467</v>
      </c>
      <c r="F119" s="6">
        <v>1</v>
      </c>
      <c r="G119" s="6">
        <v>1</v>
      </c>
      <c r="H119" s="8" t="s">
        <v>468</v>
      </c>
      <c r="I119" s="14" t="s">
        <v>14</v>
      </c>
      <c r="J119" s="15">
        <v>0</v>
      </c>
      <c r="K119" s="6">
        <v>1</v>
      </c>
    </row>
    <row r="120" spans="1:11">
      <c r="A120" s="6">
        <v>120</v>
      </c>
      <c r="B120" s="6">
        <v>90653</v>
      </c>
      <c r="C120" s="6"/>
      <c r="D120" s="6"/>
      <c r="E120" s="7" t="s">
        <v>469</v>
      </c>
      <c r="F120" s="6">
        <v>1</v>
      </c>
      <c r="G120" s="6">
        <v>0.5</v>
      </c>
      <c r="H120" s="8" t="s">
        <v>470</v>
      </c>
      <c r="I120" s="7" t="s">
        <v>14</v>
      </c>
      <c r="J120" s="11">
        <v>65</v>
      </c>
      <c r="K120" s="6">
        <f t="shared" ref="K120" si="4">G120/F120</f>
        <v>0.5</v>
      </c>
    </row>
    <row r="121" spans="1:11">
      <c r="A121" s="6">
        <v>121</v>
      </c>
      <c r="B121" s="6">
        <v>90661</v>
      </c>
      <c r="C121" s="6"/>
      <c r="D121" s="6"/>
      <c r="E121" s="8" t="s">
        <v>471</v>
      </c>
      <c r="F121" s="6">
        <v>1</v>
      </c>
      <c r="G121" s="6">
        <v>0.5</v>
      </c>
      <c r="H121" s="8" t="s">
        <v>472</v>
      </c>
      <c r="I121" s="7" t="s">
        <v>14</v>
      </c>
      <c r="J121" s="11">
        <v>65</v>
      </c>
      <c r="K121" s="6">
        <f t="shared" ref="K121:K127" si="5">G121/F121</f>
        <v>0.5</v>
      </c>
    </row>
    <row r="122" spans="1:11">
      <c r="A122" s="6">
        <v>122</v>
      </c>
      <c r="B122" s="7" t="s">
        <v>473</v>
      </c>
      <c r="C122" s="7" t="s">
        <v>474</v>
      </c>
      <c r="D122" s="7" t="s">
        <v>82</v>
      </c>
      <c r="E122" s="7" t="s">
        <v>475</v>
      </c>
      <c r="F122" s="6">
        <v>1</v>
      </c>
      <c r="G122" s="6">
        <v>1</v>
      </c>
      <c r="H122" s="8" t="s">
        <v>476</v>
      </c>
      <c r="I122" s="7" t="s">
        <v>108</v>
      </c>
      <c r="J122" s="11">
        <v>0</v>
      </c>
      <c r="K122" s="6">
        <f t="shared" si="5"/>
        <v>1</v>
      </c>
    </row>
    <row r="123" spans="1:11">
      <c r="A123" s="6">
        <v>123</v>
      </c>
      <c r="B123" s="7" t="s">
        <v>477</v>
      </c>
      <c r="C123" s="7" t="s">
        <v>478</v>
      </c>
      <c r="D123" s="7" t="s">
        <v>82</v>
      </c>
      <c r="E123" s="7" t="s">
        <v>479</v>
      </c>
      <c r="F123" s="6">
        <v>1</v>
      </c>
      <c r="G123" s="6">
        <v>1</v>
      </c>
      <c r="H123" s="8" t="s">
        <v>480</v>
      </c>
      <c r="I123" s="7" t="s">
        <v>14</v>
      </c>
      <c r="J123" s="11">
        <v>0.01</v>
      </c>
      <c r="K123" s="6">
        <f t="shared" si="5"/>
        <v>1</v>
      </c>
    </row>
    <row r="124" spans="1:11">
      <c r="A124" s="6">
        <v>124</v>
      </c>
      <c r="B124" s="7" t="s">
        <v>481</v>
      </c>
      <c r="C124" s="6"/>
      <c r="D124" s="7" t="s">
        <v>82</v>
      </c>
      <c r="E124" s="8" t="s">
        <v>482</v>
      </c>
      <c r="F124" s="6">
        <v>1</v>
      </c>
      <c r="G124" s="6">
        <v>1</v>
      </c>
      <c r="H124" s="8" t="s">
        <v>483</v>
      </c>
      <c r="I124" s="7" t="s">
        <v>14</v>
      </c>
      <c r="J124" s="11">
        <v>0.01</v>
      </c>
      <c r="K124" s="6">
        <f t="shared" si="5"/>
        <v>1</v>
      </c>
    </row>
    <row r="125" spans="1:11">
      <c r="A125" s="6">
        <v>125</v>
      </c>
      <c r="B125" s="7" t="s">
        <v>484</v>
      </c>
      <c r="C125" s="7" t="s">
        <v>485</v>
      </c>
      <c r="D125" s="7" t="s">
        <v>82</v>
      </c>
      <c r="E125" s="8" t="s">
        <v>486</v>
      </c>
      <c r="F125" s="6">
        <v>1</v>
      </c>
      <c r="G125" s="6">
        <v>1</v>
      </c>
      <c r="H125" s="8" t="s">
        <v>487</v>
      </c>
      <c r="I125" s="7" t="s">
        <v>14</v>
      </c>
      <c r="J125" s="11">
        <v>0.01</v>
      </c>
      <c r="K125" s="6">
        <f t="shared" si="5"/>
        <v>1</v>
      </c>
    </row>
    <row r="126" spans="1:11">
      <c r="A126" s="6">
        <v>126</v>
      </c>
      <c r="B126" s="7" t="s">
        <v>488</v>
      </c>
      <c r="C126" s="7" t="s">
        <v>489</v>
      </c>
      <c r="D126" s="7" t="s">
        <v>82</v>
      </c>
      <c r="E126" s="8" t="s">
        <v>490</v>
      </c>
      <c r="F126" s="6">
        <v>1</v>
      </c>
      <c r="G126" s="6">
        <v>1</v>
      </c>
      <c r="H126" s="8" t="s">
        <v>491</v>
      </c>
      <c r="I126" s="7" t="s">
        <v>14</v>
      </c>
      <c r="J126" s="11">
        <v>20</v>
      </c>
      <c r="K126" s="6">
        <f t="shared" si="5"/>
        <v>1</v>
      </c>
    </row>
    <row r="127" spans="1:11">
      <c r="A127" s="6">
        <v>127</v>
      </c>
      <c r="B127" s="7" t="s">
        <v>492</v>
      </c>
      <c r="C127" s="7" t="s">
        <v>493</v>
      </c>
      <c r="D127" s="7" t="s">
        <v>82</v>
      </c>
      <c r="E127" s="8" t="s">
        <v>494</v>
      </c>
      <c r="F127" s="6">
        <v>2</v>
      </c>
      <c r="G127" s="6">
        <v>1</v>
      </c>
      <c r="H127" s="8" t="s">
        <v>495</v>
      </c>
      <c r="I127" s="7" t="s">
        <v>14</v>
      </c>
      <c r="J127" s="11">
        <v>5</v>
      </c>
      <c r="K127" s="6">
        <f t="shared" si="5"/>
        <v>0.5</v>
      </c>
    </row>
    <row r="128" spans="1:11">
      <c r="A128" s="6">
        <v>127</v>
      </c>
      <c r="B128" s="7" t="s">
        <v>496</v>
      </c>
      <c r="C128" s="7" t="s">
        <v>497</v>
      </c>
      <c r="D128" s="7" t="s">
        <v>82</v>
      </c>
      <c r="E128" s="8" t="s">
        <v>498</v>
      </c>
      <c r="F128" s="6">
        <v>1</v>
      </c>
      <c r="G128" s="6">
        <v>1</v>
      </c>
      <c r="H128" s="8" t="s">
        <v>499</v>
      </c>
      <c r="I128" s="7" t="s">
        <v>14</v>
      </c>
      <c r="J128" s="11">
        <v>35</v>
      </c>
      <c r="K128" s="6">
        <f t="shared" ref="K128:K132" si="6">G128/F128</f>
        <v>1</v>
      </c>
    </row>
    <row r="129" s="1" customFormat="1" spans="1:11">
      <c r="A129" s="6">
        <v>128</v>
      </c>
      <c r="B129" s="6">
        <v>90703</v>
      </c>
      <c r="C129" s="6"/>
      <c r="D129" s="6"/>
      <c r="E129" s="7" t="s">
        <v>500</v>
      </c>
      <c r="F129" s="6">
        <v>1</v>
      </c>
      <c r="G129" s="6">
        <v>0.5</v>
      </c>
      <c r="H129" s="6">
        <v>58160084252</v>
      </c>
      <c r="I129" s="7" t="s">
        <v>14</v>
      </c>
      <c r="J129" s="12"/>
      <c r="K129" s="6">
        <f t="shared" si="6"/>
        <v>0.5</v>
      </c>
    </row>
    <row r="130" s="1" customFormat="1" spans="1:11">
      <c r="A130" s="6">
        <v>129</v>
      </c>
      <c r="B130" s="7" t="s">
        <v>501</v>
      </c>
      <c r="C130" s="7" t="s">
        <v>502</v>
      </c>
      <c r="D130" s="7" t="s">
        <v>82</v>
      </c>
      <c r="E130" s="8" t="s">
        <v>503</v>
      </c>
      <c r="F130" s="6">
        <v>1</v>
      </c>
      <c r="G130" s="6">
        <v>1</v>
      </c>
      <c r="H130" s="8" t="s">
        <v>504</v>
      </c>
      <c r="I130" s="7" t="s">
        <v>14</v>
      </c>
      <c r="J130" s="11">
        <v>5</v>
      </c>
      <c r="K130" s="6">
        <f t="shared" si="6"/>
        <v>1</v>
      </c>
    </row>
    <row r="131" s="1" customFormat="1" spans="1:11">
      <c r="A131" s="6">
        <v>130</v>
      </c>
      <c r="B131" s="7" t="s">
        <v>505</v>
      </c>
      <c r="C131" s="9" t="s">
        <v>506</v>
      </c>
      <c r="D131" s="7" t="s">
        <v>82</v>
      </c>
      <c r="E131" s="9" t="s">
        <v>507</v>
      </c>
      <c r="F131" s="6">
        <v>1</v>
      </c>
      <c r="G131" s="6">
        <v>1</v>
      </c>
      <c r="H131" s="8" t="s">
        <v>508</v>
      </c>
      <c r="I131" s="7" t="s">
        <v>14</v>
      </c>
      <c r="J131" s="11">
        <v>0.01</v>
      </c>
      <c r="K131" s="6">
        <f t="shared" si="6"/>
        <v>1</v>
      </c>
    </row>
    <row r="132" s="1" customFormat="1" spans="1:11">
      <c r="A132" s="6">
        <v>131</v>
      </c>
      <c r="B132" s="7" t="s">
        <v>509</v>
      </c>
      <c r="C132" s="9" t="s">
        <v>510</v>
      </c>
      <c r="D132" s="7" t="s">
        <v>82</v>
      </c>
      <c r="E132" s="9" t="s">
        <v>511</v>
      </c>
      <c r="F132" s="6">
        <v>1</v>
      </c>
      <c r="G132" s="6">
        <v>1</v>
      </c>
      <c r="H132" s="8" t="s">
        <v>512</v>
      </c>
      <c r="I132" s="7" t="s">
        <v>14</v>
      </c>
      <c r="J132" s="11">
        <v>0.01</v>
      </c>
      <c r="K132" s="6">
        <f t="shared" si="6"/>
        <v>1</v>
      </c>
    </row>
    <row r="133" s="2" customFormat="1" spans="1:11">
      <c r="A133" s="6">
        <v>108</v>
      </c>
      <c r="B133" s="7" t="s">
        <v>513</v>
      </c>
      <c r="C133" s="7" t="s">
        <v>514</v>
      </c>
      <c r="D133" s="6"/>
      <c r="E133" s="6"/>
      <c r="F133" s="6">
        <v>1</v>
      </c>
      <c r="G133" s="6">
        <v>1</v>
      </c>
      <c r="H133" s="6">
        <v>50474071079</v>
      </c>
      <c r="I133" s="7" t="s">
        <v>14</v>
      </c>
      <c r="J133" s="12">
        <v>0</v>
      </c>
      <c r="K133" s="6">
        <v>1</v>
      </c>
    </row>
    <row r="134" s="2" customFormat="1" spans="1:11">
      <c r="A134" s="6">
        <v>111</v>
      </c>
      <c r="B134" s="6">
        <v>90378</v>
      </c>
      <c r="C134" s="6"/>
      <c r="D134" s="6"/>
      <c r="E134" s="6"/>
      <c r="F134" s="6">
        <v>1</v>
      </c>
      <c r="G134" s="6">
        <v>0.5</v>
      </c>
      <c r="H134" s="8" t="s">
        <v>515</v>
      </c>
      <c r="I134" s="7" t="s">
        <v>14</v>
      </c>
      <c r="J134" s="12">
        <v>25</v>
      </c>
      <c r="K134" s="6">
        <v>1</v>
      </c>
    </row>
    <row r="135" s="2" customFormat="1" spans="1:11">
      <c r="A135" s="6">
        <v>109</v>
      </c>
      <c r="B135" s="7" t="s">
        <v>516</v>
      </c>
      <c r="C135" s="7" t="s">
        <v>429</v>
      </c>
      <c r="D135" s="6"/>
      <c r="E135" s="7" t="s">
        <v>517</v>
      </c>
      <c r="F135" s="6">
        <v>1</v>
      </c>
      <c r="G135" s="6">
        <v>1</v>
      </c>
      <c r="H135" s="8" t="s">
        <v>518</v>
      </c>
      <c r="I135" s="7" t="s">
        <v>14</v>
      </c>
      <c r="J135" s="12">
        <v>0</v>
      </c>
      <c r="K135" s="6">
        <v>1</v>
      </c>
    </row>
    <row r="136" s="2" customFormat="1" spans="1:11">
      <c r="A136" s="6">
        <v>110</v>
      </c>
      <c r="B136" s="7" t="s">
        <v>519</v>
      </c>
      <c r="C136" s="7" t="s">
        <v>520</v>
      </c>
      <c r="D136" s="6"/>
      <c r="E136" s="7" t="s">
        <v>521</v>
      </c>
      <c r="F136" s="6">
        <v>1</v>
      </c>
      <c r="G136" s="6">
        <v>1</v>
      </c>
      <c r="H136" s="8" t="s">
        <v>522</v>
      </c>
      <c r="I136" s="7" t="s">
        <v>14</v>
      </c>
      <c r="J136" s="12">
        <v>0.01</v>
      </c>
      <c r="K136" s="6">
        <v>1</v>
      </c>
    </row>
    <row r="137" s="2" customFormat="1" spans="1:11">
      <c r="A137" s="6">
        <v>120</v>
      </c>
      <c r="B137" s="6">
        <v>90700</v>
      </c>
      <c r="C137" s="6"/>
      <c r="D137" s="6"/>
      <c r="E137" s="7" t="s">
        <v>523</v>
      </c>
      <c r="F137" s="6">
        <v>1</v>
      </c>
      <c r="G137" s="6">
        <v>0.5</v>
      </c>
      <c r="H137" s="8" t="s">
        <v>524</v>
      </c>
      <c r="I137" s="7" t="s">
        <v>14</v>
      </c>
      <c r="J137" s="11">
        <v>75</v>
      </c>
      <c r="K137" s="6">
        <v>0.5</v>
      </c>
    </row>
    <row r="138" s="2" customFormat="1" spans="1:11">
      <c r="A138" s="6">
        <v>131</v>
      </c>
      <c r="B138" s="7" t="s">
        <v>525</v>
      </c>
      <c r="C138" s="9" t="s">
        <v>526</v>
      </c>
      <c r="D138" s="7" t="s">
        <v>82</v>
      </c>
      <c r="E138" s="9" t="s">
        <v>527</v>
      </c>
      <c r="F138" s="6">
        <v>1</v>
      </c>
      <c r="G138" s="6">
        <v>1</v>
      </c>
      <c r="H138" s="9">
        <v>68611019002</v>
      </c>
      <c r="I138" s="7" t="s">
        <v>14</v>
      </c>
      <c r="J138" s="11">
        <v>0.01</v>
      </c>
      <c r="K138" s="6">
        <v>1</v>
      </c>
    </row>
    <row r="139" s="2" customFormat="1" spans="1:11">
      <c r="A139" s="6">
        <v>132</v>
      </c>
      <c r="B139" s="7" t="s">
        <v>528</v>
      </c>
      <c r="C139" s="9"/>
      <c r="D139" s="7" t="s">
        <v>82</v>
      </c>
      <c r="E139" s="9" t="s">
        <v>529</v>
      </c>
      <c r="F139" s="6">
        <v>1</v>
      </c>
      <c r="G139" s="6">
        <v>1</v>
      </c>
      <c r="H139" s="9">
        <v>50242006001</v>
      </c>
      <c r="I139" s="7" t="s">
        <v>14</v>
      </c>
      <c r="J139" s="11">
        <v>0</v>
      </c>
      <c r="K139" s="6">
        <v>1</v>
      </c>
    </row>
    <row r="140" s="2" customFormat="1" spans="1:11">
      <c r="A140" s="6">
        <v>133</v>
      </c>
      <c r="B140" s="6">
        <v>90684</v>
      </c>
      <c r="C140" s="6"/>
      <c r="D140" s="6"/>
      <c r="E140" s="7" t="s">
        <v>530</v>
      </c>
      <c r="F140" s="6">
        <v>1</v>
      </c>
      <c r="G140" s="6">
        <v>0.5</v>
      </c>
      <c r="H140" s="8" t="s">
        <v>531</v>
      </c>
      <c r="I140" s="7" t="s">
        <v>14</v>
      </c>
      <c r="J140" s="11">
        <v>0</v>
      </c>
      <c r="K140" s="6">
        <v>0.5</v>
      </c>
    </row>
    <row r="141" spans="1:11">
      <c r="A141" s="6">
        <v>134</v>
      </c>
      <c r="B141" s="6">
        <v>90697</v>
      </c>
      <c r="C141" s="6"/>
      <c r="D141" s="6"/>
      <c r="E141" s="6"/>
      <c r="F141" s="6">
        <v>1</v>
      </c>
      <c r="G141" s="6">
        <v>0.5</v>
      </c>
      <c r="H141" s="6">
        <v>63361243015</v>
      </c>
      <c r="I141" s="7" t="s">
        <v>14</v>
      </c>
      <c r="J141" s="11">
        <v>0</v>
      </c>
      <c r="K141" s="6">
        <f t="shared" ref="K141:K147" si="7">G141/F141</f>
        <v>0.5</v>
      </c>
    </row>
    <row r="142" spans="1:11">
      <c r="A142" s="6">
        <v>135</v>
      </c>
      <c r="B142" s="6">
        <v>90681</v>
      </c>
      <c r="C142" s="6"/>
      <c r="D142" s="6"/>
      <c r="E142" s="6"/>
      <c r="F142" s="6">
        <v>1</v>
      </c>
      <c r="G142" s="6">
        <v>0.5</v>
      </c>
      <c r="H142" s="6">
        <v>58160740001</v>
      </c>
      <c r="I142" s="7" t="s">
        <v>14</v>
      </c>
      <c r="J142" s="11">
        <v>0</v>
      </c>
      <c r="K142" s="6">
        <f t="shared" si="7"/>
        <v>0.5</v>
      </c>
    </row>
    <row r="143" spans="1:11">
      <c r="A143" s="6">
        <v>136</v>
      </c>
      <c r="B143" s="7" t="s">
        <v>532</v>
      </c>
      <c r="C143" s="7" t="s">
        <v>533</v>
      </c>
      <c r="D143" s="7" t="s">
        <v>82</v>
      </c>
      <c r="E143" s="8" t="s">
        <v>534</v>
      </c>
      <c r="F143" s="6">
        <v>1</v>
      </c>
      <c r="G143" s="6">
        <v>1</v>
      </c>
      <c r="H143" s="8" t="s">
        <v>205</v>
      </c>
      <c r="I143" s="7" t="s">
        <v>14</v>
      </c>
      <c r="J143" s="11">
        <v>0</v>
      </c>
      <c r="K143" s="6">
        <f t="shared" si="7"/>
        <v>1</v>
      </c>
    </row>
    <row r="144" spans="1:11">
      <c r="A144" s="6">
        <v>137</v>
      </c>
      <c r="B144" s="6">
        <v>90656</v>
      </c>
      <c r="C144" s="6"/>
      <c r="D144" s="6"/>
      <c r="E144" s="7" t="s">
        <v>535</v>
      </c>
      <c r="F144" s="6">
        <v>1</v>
      </c>
      <c r="G144" s="6">
        <v>0.5</v>
      </c>
      <c r="H144" s="6">
        <v>33332002403</v>
      </c>
      <c r="I144" s="7" t="s">
        <v>14</v>
      </c>
      <c r="J144" s="11">
        <v>0</v>
      </c>
      <c r="K144" s="6">
        <f t="shared" si="7"/>
        <v>0.5</v>
      </c>
    </row>
    <row r="145" spans="1:11">
      <c r="A145" s="6">
        <v>138</v>
      </c>
      <c r="B145" s="6">
        <v>90648</v>
      </c>
      <c r="C145" s="6"/>
      <c r="D145" s="6"/>
      <c r="E145" s="7" t="s">
        <v>536</v>
      </c>
      <c r="F145" s="6">
        <v>1</v>
      </c>
      <c r="G145" s="6">
        <v>0.5</v>
      </c>
      <c r="H145" s="6">
        <v>49281054505</v>
      </c>
      <c r="I145" s="7" t="s">
        <v>14</v>
      </c>
      <c r="J145" s="11">
        <v>0</v>
      </c>
      <c r="K145" s="6">
        <f t="shared" si="7"/>
        <v>0.5</v>
      </c>
    </row>
    <row r="146" spans="1:11">
      <c r="A146" s="6">
        <v>139</v>
      </c>
      <c r="B146" s="6">
        <v>90671</v>
      </c>
      <c r="C146" s="6"/>
      <c r="D146" s="6"/>
      <c r="E146" s="9" t="s">
        <v>537</v>
      </c>
      <c r="F146" s="6">
        <v>1</v>
      </c>
      <c r="G146" s="6">
        <v>0.5</v>
      </c>
      <c r="H146" s="8" t="s">
        <v>538</v>
      </c>
      <c r="I146" s="7" t="s">
        <v>14</v>
      </c>
      <c r="J146" s="11">
        <v>0</v>
      </c>
      <c r="K146" s="6">
        <f t="shared" si="7"/>
        <v>0.5</v>
      </c>
    </row>
    <row r="147" spans="1:11">
      <c r="A147" s="6">
        <v>140</v>
      </c>
      <c r="B147" s="6">
        <v>90733</v>
      </c>
      <c r="C147" s="6"/>
      <c r="D147" s="6"/>
      <c r="E147" s="8" t="s">
        <v>539</v>
      </c>
      <c r="F147" s="6">
        <v>1</v>
      </c>
      <c r="G147" s="6">
        <v>0.5</v>
      </c>
      <c r="H147" s="8" t="s">
        <v>540</v>
      </c>
      <c r="I147" s="7" t="s">
        <v>14</v>
      </c>
      <c r="J147" s="11">
        <v>0</v>
      </c>
      <c r="K147" s="6">
        <f t="shared" si="7"/>
        <v>0.5</v>
      </c>
    </row>
    <row r="148" spans="1:11">
      <c r="A148" s="6">
        <v>141</v>
      </c>
      <c r="B148" s="7" t="s">
        <v>541</v>
      </c>
      <c r="C148" s="7" t="s">
        <v>542</v>
      </c>
      <c r="D148" s="7" t="s">
        <v>82</v>
      </c>
      <c r="E148" s="8" t="s">
        <v>543</v>
      </c>
      <c r="F148" s="6">
        <v>1</v>
      </c>
      <c r="G148" s="6">
        <v>1</v>
      </c>
      <c r="H148" s="8" t="s">
        <v>544</v>
      </c>
      <c r="I148" s="7" t="s">
        <v>14</v>
      </c>
      <c r="J148" s="11">
        <v>0</v>
      </c>
      <c r="K148" s="6">
        <f t="shared" ref="K148:K151" si="8">G148/F148</f>
        <v>1</v>
      </c>
    </row>
    <row r="149" spans="1:11">
      <c r="A149" s="6">
        <v>142</v>
      </c>
      <c r="B149" s="6">
        <v>90633</v>
      </c>
      <c r="C149" s="6"/>
      <c r="D149" s="6"/>
      <c r="E149" s="8" t="s">
        <v>545</v>
      </c>
      <c r="F149" s="6">
        <v>1</v>
      </c>
      <c r="G149" s="6">
        <v>0.5</v>
      </c>
      <c r="H149" s="8" t="s">
        <v>546</v>
      </c>
      <c r="I149" s="7" t="s">
        <v>14</v>
      </c>
      <c r="J149" s="11">
        <v>0</v>
      </c>
      <c r="K149" s="6">
        <f t="shared" si="8"/>
        <v>0.5</v>
      </c>
    </row>
    <row r="150" spans="1:11">
      <c r="A150" s="6">
        <v>143</v>
      </c>
      <c r="B150" s="7" t="s">
        <v>547</v>
      </c>
      <c r="C150" s="7" t="s">
        <v>203</v>
      </c>
      <c r="D150" s="7" t="s">
        <v>82</v>
      </c>
      <c r="E150" s="8" t="s">
        <v>548</v>
      </c>
      <c r="F150" s="6">
        <v>4</v>
      </c>
      <c r="G150" s="6">
        <v>1</v>
      </c>
      <c r="H150" s="8" t="s">
        <v>549</v>
      </c>
      <c r="I150" s="7" t="s">
        <v>14</v>
      </c>
      <c r="J150" s="11">
        <v>0</v>
      </c>
      <c r="K150" s="6">
        <f t="shared" si="8"/>
        <v>0.25</v>
      </c>
    </row>
    <row r="151" spans="1:11">
      <c r="A151" s="6">
        <v>144</v>
      </c>
      <c r="B151" s="6">
        <v>90619</v>
      </c>
      <c r="C151" s="6"/>
      <c r="D151" s="6"/>
      <c r="E151" s="16" t="s">
        <v>550</v>
      </c>
      <c r="F151" s="6">
        <v>1</v>
      </c>
      <c r="G151" s="6">
        <v>0.5</v>
      </c>
      <c r="H151" s="8" t="s">
        <v>551</v>
      </c>
      <c r="I151" s="7" t="s">
        <v>14</v>
      </c>
      <c r="J151" s="11">
        <v>0</v>
      </c>
      <c r="K151" s="6">
        <f t="shared" si="8"/>
        <v>0.5</v>
      </c>
    </row>
    <row r="152" spans="1:11">
      <c r="A152" s="6">
        <v>145</v>
      </c>
      <c r="B152" s="6">
        <v>90707</v>
      </c>
      <c r="C152" s="6"/>
      <c r="D152" s="6"/>
      <c r="E152" s="16" t="s">
        <v>552</v>
      </c>
      <c r="F152" s="6">
        <v>1</v>
      </c>
      <c r="G152" s="6">
        <v>0.5</v>
      </c>
      <c r="H152" s="8" t="s">
        <v>553</v>
      </c>
      <c r="I152" s="7" t="s">
        <v>14</v>
      </c>
      <c r="J152" s="11">
        <v>0</v>
      </c>
      <c r="K152" s="6">
        <f t="shared" ref="K152" si="9">G152/F152</f>
        <v>0.5</v>
      </c>
    </row>
    <row r="153" spans="1:11">
      <c r="A153" s="6">
        <v>146</v>
      </c>
      <c r="B153" s="6">
        <v>90679</v>
      </c>
      <c r="C153" s="6"/>
      <c r="D153" s="6"/>
      <c r="E153" s="17" t="s">
        <v>554</v>
      </c>
      <c r="F153" s="6">
        <v>1</v>
      </c>
      <c r="G153" s="6">
        <v>0.5</v>
      </c>
      <c r="H153" s="18">
        <v>58160074403</v>
      </c>
      <c r="I153" s="7" t="s">
        <v>14</v>
      </c>
      <c r="J153" s="11">
        <v>550</v>
      </c>
      <c r="K153" s="6">
        <f t="shared" ref="K153" si="10">G153/F153</f>
        <v>0.5</v>
      </c>
    </row>
    <row r="154" spans="1:11">
      <c r="A154" s="6">
        <v>147</v>
      </c>
      <c r="B154" s="7" t="s">
        <v>555</v>
      </c>
      <c r="C154" s="7" t="s">
        <v>373</v>
      </c>
      <c r="D154" s="6"/>
      <c r="E154" s="17" t="s">
        <v>556</v>
      </c>
      <c r="F154" s="6">
        <v>1</v>
      </c>
      <c r="G154" s="6">
        <v>1</v>
      </c>
      <c r="H154" s="18">
        <v>63323073820</v>
      </c>
      <c r="I154" s="7" t="s">
        <v>14</v>
      </c>
      <c r="J154" s="11">
        <v>0</v>
      </c>
      <c r="K154" s="6">
        <f t="shared" ref="K154:K155" si="11">G154/F154</f>
        <v>1</v>
      </c>
    </row>
    <row r="155" spans="1:11">
      <c r="A155" s="6">
        <v>148</v>
      </c>
      <c r="B155" s="6">
        <v>90680</v>
      </c>
      <c r="C155" s="6"/>
      <c r="D155" s="6"/>
      <c r="E155" s="17" t="s">
        <v>557</v>
      </c>
      <c r="F155" s="6">
        <v>1</v>
      </c>
      <c r="G155" s="6">
        <v>0.5</v>
      </c>
      <c r="H155" s="8" t="s">
        <v>558</v>
      </c>
      <c r="I155" s="7" t="s">
        <v>14</v>
      </c>
      <c r="J155" s="11">
        <v>0</v>
      </c>
      <c r="K155" s="6">
        <f t="shared" si="11"/>
        <v>0.5</v>
      </c>
    </row>
    <row r="156" spans="1:11">
      <c r="A156" s="6">
        <v>149</v>
      </c>
      <c r="B156" s="6">
        <v>90723</v>
      </c>
      <c r="C156" s="6"/>
      <c r="D156" s="6"/>
      <c r="E156" s="17" t="s">
        <v>559</v>
      </c>
      <c r="F156" s="6">
        <v>1</v>
      </c>
      <c r="G156" s="6">
        <v>0.5</v>
      </c>
      <c r="H156" s="8" t="s">
        <v>560</v>
      </c>
      <c r="I156" s="7" t="s">
        <v>14</v>
      </c>
      <c r="J156" s="11">
        <v>0</v>
      </c>
      <c r="K156" s="6">
        <f t="shared" ref="K156" si="12">G156/F156</f>
        <v>0.5</v>
      </c>
    </row>
    <row r="157" spans="1:11">
      <c r="A157" s="6">
        <v>150</v>
      </c>
      <c r="B157" s="6">
        <v>90657</v>
      </c>
      <c r="C157" s="6"/>
      <c r="D157" s="6"/>
      <c r="E157" s="17" t="s">
        <v>561</v>
      </c>
      <c r="F157" s="6">
        <v>1</v>
      </c>
      <c r="G157" s="6">
        <v>0.5</v>
      </c>
      <c r="H157" s="8" t="s">
        <v>562</v>
      </c>
      <c r="I157" s="7" t="s">
        <v>14</v>
      </c>
      <c r="J157" s="11">
        <v>0</v>
      </c>
      <c r="K157" s="6">
        <f t="shared" ref="K157:K158" si="13">G157/F157</f>
        <v>0.5</v>
      </c>
    </row>
    <row r="158" spans="1:11">
      <c r="A158" s="6">
        <v>151</v>
      </c>
      <c r="B158" s="7" t="s">
        <v>563</v>
      </c>
      <c r="C158" s="7" t="s">
        <v>564</v>
      </c>
      <c r="D158" s="6"/>
      <c r="E158" s="17" t="s">
        <v>454</v>
      </c>
      <c r="F158" s="6">
        <v>1</v>
      </c>
      <c r="G158" s="6">
        <v>0.5</v>
      </c>
      <c r="H158" s="18">
        <v>69097087067</v>
      </c>
      <c r="I158" s="7" t="s">
        <v>14</v>
      </c>
      <c r="J158" s="11">
        <v>0</v>
      </c>
      <c r="K158" s="6">
        <f t="shared" si="13"/>
        <v>0.5</v>
      </c>
    </row>
  </sheetData>
  <conditionalFormatting sqref="E104">
    <cfRule type="duplicateValues" dxfId="0" priority="84"/>
  </conditionalFormatting>
  <conditionalFormatting sqref="A107">
    <cfRule type="duplicateValues" dxfId="0" priority="76"/>
  </conditionalFormatting>
  <conditionalFormatting sqref="B107">
    <cfRule type="duplicateValues" dxfId="0" priority="77"/>
  </conditionalFormatting>
  <conditionalFormatting sqref="B111">
    <cfRule type="duplicateValues" dxfId="0" priority="74"/>
  </conditionalFormatting>
  <conditionalFormatting sqref="C111">
    <cfRule type="duplicateValues" dxfId="0" priority="73"/>
  </conditionalFormatting>
  <conditionalFormatting sqref="D111">
    <cfRule type="duplicateValues" dxfId="0" priority="72"/>
  </conditionalFormatting>
  <conditionalFormatting sqref="A116">
    <cfRule type="duplicateValues" dxfId="0" priority="70"/>
  </conditionalFormatting>
  <conditionalFormatting sqref="B116">
    <cfRule type="duplicateValues" dxfId="0" priority="69"/>
  </conditionalFormatting>
  <conditionalFormatting sqref="C116">
    <cfRule type="duplicateValues" dxfId="0" priority="68"/>
  </conditionalFormatting>
  <conditionalFormatting sqref="D116">
    <cfRule type="duplicateValues" dxfId="0" priority="67"/>
  </conditionalFormatting>
  <conditionalFormatting sqref="E116">
    <cfRule type="duplicateValues" dxfId="0" priority="64"/>
  </conditionalFormatting>
  <conditionalFormatting sqref="H116">
    <cfRule type="duplicateValues" dxfId="0" priority="65"/>
  </conditionalFormatting>
  <conditionalFormatting sqref="E119">
    <cfRule type="duplicateValues" dxfId="0" priority="60"/>
  </conditionalFormatting>
  <conditionalFormatting sqref="H119">
    <cfRule type="duplicateValues" dxfId="0" priority="61"/>
  </conditionalFormatting>
  <conditionalFormatting sqref="H120">
    <cfRule type="duplicateValues" dxfId="0" priority="54"/>
  </conditionalFormatting>
  <conditionalFormatting sqref="E121">
    <cfRule type="duplicateValues" dxfId="0" priority="48"/>
  </conditionalFormatting>
  <conditionalFormatting sqref="H121">
    <cfRule type="duplicateValues" dxfId="0" priority="49"/>
  </conditionalFormatting>
  <conditionalFormatting sqref="B122">
    <cfRule type="duplicateValues" dxfId="0" priority="53"/>
  </conditionalFormatting>
  <conditionalFormatting sqref="H122">
    <cfRule type="duplicateValues" dxfId="0" priority="52"/>
  </conditionalFormatting>
  <conditionalFormatting sqref="B123">
    <cfRule type="duplicateValues" dxfId="0" priority="51"/>
  </conditionalFormatting>
  <conditionalFormatting sqref="H123">
    <cfRule type="duplicateValues" dxfId="0" priority="50"/>
  </conditionalFormatting>
  <conditionalFormatting sqref="E130">
    <cfRule type="duplicateValues" dxfId="0" priority="42"/>
  </conditionalFormatting>
  <conditionalFormatting sqref="A137">
    <cfRule type="duplicateValues" dxfId="0" priority="37"/>
  </conditionalFormatting>
  <conditionalFormatting sqref="B137">
    <cfRule type="duplicateValues" dxfId="0" priority="36"/>
  </conditionalFormatting>
  <conditionalFormatting sqref="C137">
    <cfRule type="duplicateValues" dxfId="0" priority="35"/>
  </conditionalFormatting>
  <conditionalFormatting sqref="D137">
    <cfRule type="duplicateValues" dxfId="0" priority="34"/>
  </conditionalFormatting>
  <conditionalFormatting sqref="H137">
    <cfRule type="duplicateValues" dxfId="0" priority="33"/>
  </conditionalFormatting>
  <conditionalFormatting sqref="A140">
    <cfRule type="duplicateValues" dxfId="0" priority="31"/>
  </conditionalFormatting>
  <conditionalFormatting sqref="B140">
    <cfRule type="duplicateValues" dxfId="0" priority="30"/>
  </conditionalFormatting>
  <conditionalFormatting sqref="C140">
    <cfRule type="duplicateValues" dxfId="0" priority="29"/>
  </conditionalFormatting>
  <conditionalFormatting sqref="D140">
    <cfRule type="duplicateValues" dxfId="0" priority="28"/>
  </conditionalFormatting>
  <conditionalFormatting sqref="H140">
    <cfRule type="duplicateValues" dxfId="0" priority="27"/>
  </conditionalFormatting>
  <conditionalFormatting sqref="B143">
    <cfRule type="duplicateValues" dxfId="0" priority="24"/>
  </conditionalFormatting>
  <conditionalFormatting sqref="E143">
    <cfRule type="duplicateValues" dxfId="0" priority="22"/>
  </conditionalFormatting>
  <conditionalFormatting sqref="H143">
    <cfRule type="duplicateValues" dxfId="0" priority="23"/>
  </conditionalFormatting>
  <conditionalFormatting sqref="E147">
    <cfRule type="duplicateValues" dxfId="0" priority="18"/>
  </conditionalFormatting>
  <conditionalFormatting sqref="B148">
    <cfRule type="duplicateValues" dxfId="0" priority="16"/>
    <cfRule type="duplicateValues" dxfId="0" priority="17"/>
  </conditionalFormatting>
  <conditionalFormatting sqref="E148">
    <cfRule type="duplicateValues" dxfId="0" priority="14"/>
  </conditionalFormatting>
  <conditionalFormatting sqref="H148">
    <cfRule type="duplicateValues" dxfId="0" priority="15"/>
  </conditionalFormatting>
  <conditionalFormatting sqref="B149">
    <cfRule type="duplicateValues" dxfId="0" priority="12"/>
    <cfRule type="duplicateValues" dxfId="0" priority="13"/>
  </conditionalFormatting>
  <conditionalFormatting sqref="E149">
    <cfRule type="duplicateValues" dxfId="0" priority="10"/>
  </conditionalFormatting>
  <conditionalFormatting sqref="H149">
    <cfRule type="duplicateValues" dxfId="0" priority="11"/>
  </conditionalFormatting>
  <conditionalFormatting sqref="B150">
    <cfRule type="duplicateValues" dxfId="0" priority="8"/>
    <cfRule type="duplicateValues" dxfId="0" priority="9"/>
  </conditionalFormatting>
  <conditionalFormatting sqref="E150">
    <cfRule type="duplicateValues" dxfId="0" priority="6"/>
  </conditionalFormatting>
  <conditionalFormatting sqref="H150">
    <cfRule type="duplicateValues" dxfId="0" priority="7"/>
  </conditionalFormatting>
  <conditionalFormatting sqref="A120:A121">
    <cfRule type="duplicateValues" dxfId="0" priority="59"/>
  </conditionalFormatting>
  <conditionalFormatting sqref="A133:A134">
    <cfRule type="duplicateValues" dxfId="0" priority="40"/>
  </conditionalFormatting>
  <conditionalFormatting sqref="B$1:B$1048576">
    <cfRule type="duplicateValues" dxfId="0" priority="1"/>
  </conditionalFormatting>
  <conditionalFormatting sqref="B2:B103">
    <cfRule type="duplicateValues" dxfId="0" priority="94"/>
  </conditionalFormatting>
  <conditionalFormatting sqref="B104:B106">
    <cfRule type="duplicateValues" dxfId="0" priority="87"/>
  </conditionalFormatting>
  <conditionalFormatting sqref="B120:B121">
    <cfRule type="duplicateValues" dxfId="0" priority="58"/>
  </conditionalFormatting>
  <conditionalFormatting sqref="B124:B128">
    <cfRule type="duplicateValues" dxfId="0" priority="47"/>
  </conditionalFormatting>
  <conditionalFormatting sqref="B130:B132">
    <cfRule type="duplicateValues" dxfId="0" priority="44"/>
  </conditionalFormatting>
  <conditionalFormatting sqref="B133:B134">
    <cfRule type="duplicateValues" dxfId="0" priority="41"/>
  </conditionalFormatting>
  <conditionalFormatting sqref="B133:B140">
    <cfRule type="duplicateValues" dxfId="0" priority="39"/>
  </conditionalFormatting>
  <conditionalFormatting sqref="B138:B139">
    <cfRule type="duplicateValues" dxfId="0" priority="32"/>
  </conditionalFormatting>
  <conditionalFormatting sqref="B141:B142">
    <cfRule type="duplicateValues" dxfId="0" priority="26"/>
  </conditionalFormatting>
  <conditionalFormatting sqref="B141:B143">
    <cfRule type="duplicateValues" dxfId="0" priority="25"/>
  </conditionalFormatting>
  <conditionalFormatting sqref="B144:B147">
    <cfRule type="duplicateValues" dxfId="0" priority="20"/>
    <cfRule type="duplicateValues" dxfId="0" priority="21"/>
  </conditionalFormatting>
  <conditionalFormatting sqref="B151:B158">
    <cfRule type="duplicateValues" dxfId="0" priority="4"/>
    <cfRule type="duplicateValues" dxfId="0" priority="5"/>
  </conditionalFormatting>
  <conditionalFormatting sqref="C104:C106">
    <cfRule type="duplicateValues" dxfId="0" priority="86"/>
  </conditionalFormatting>
  <conditionalFormatting sqref="C120:C121">
    <cfRule type="duplicateValues" dxfId="0" priority="57"/>
  </conditionalFormatting>
  <conditionalFormatting sqref="D104:D106">
    <cfRule type="duplicateValues" dxfId="0" priority="85"/>
  </conditionalFormatting>
  <conditionalFormatting sqref="D120:D121">
    <cfRule type="duplicateValues" dxfId="0" priority="56"/>
  </conditionalFormatting>
  <conditionalFormatting sqref="E117:E118">
    <cfRule type="duplicateValues" dxfId="0" priority="62"/>
  </conditionalFormatting>
  <conditionalFormatting sqref="E124:E128">
    <cfRule type="duplicateValues" dxfId="0" priority="45"/>
  </conditionalFormatting>
  <conditionalFormatting sqref="H104:H106">
    <cfRule type="duplicateValues" dxfId="0" priority="81"/>
  </conditionalFormatting>
  <conditionalFormatting sqref="H107:H110">
    <cfRule type="duplicateValues" dxfId="0" priority="75"/>
  </conditionalFormatting>
  <conditionalFormatting sqref="H111:H114">
    <cfRule type="duplicateValues" dxfId="0" priority="71"/>
  </conditionalFormatting>
  <conditionalFormatting sqref="H117:H118">
    <cfRule type="duplicateValues" dxfId="0" priority="63"/>
  </conditionalFormatting>
  <conditionalFormatting sqref="H124:H128">
    <cfRule type="duplicateValues" dxfId="0" priority="46"/>
  </conditionalFormatting>
  <conditionalFormatting sqref="H130:H132">
    <cfRule type="duplicateValues" dxfId="0" priority="43"/>
  </conditionalFormatting>
  <conditionalFormatting sqref="H134:H136">
    <cfRule type="duplicateValues" dxfId="0" priority="38"/>
  </conditionalFormatting>
  <conditionalFormatting sqref="H146:H147">
    <cfRule type="duplicateValues" dxfId="0" priority="19"/>
  </conditionalFormatting>
  <conditionalFormatting sqref="H151:H152">
    <cfRule type="duplicateValues" dxfId="0" priority="3"/>
  </conditionalFormatting>
  <conditionalFormatting sqref="H155:H157">
    <cfRule type="duplicateValues" dxfId="0" priority="2"/>
  </conditionalFormatting>
  <conditionalFormatting sqref="A104:A106 A108:A111">
    <cfRule type="duplicateValues" dxfId="0" priority="92"/>
  </conditionalFormatting>
  <pageMargins left="0.7" right="0.7" top="0.75" bottom="0.75" header="0.3" footer="0.3"/>
  <pageSetup paperSize="1" orientation="portrait" horizontalDpi="90" verticalDpi="9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HUmana Inc</Company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 PRAKASH</dc:creator>
  <cp:lastModifiedBy>om</cp:lastModifiedBy>
  <dcterms:created xsi:type="dcterms:W3CDTF">2023-04-26T09:24:00Z</dcterms:created>
  <dcterms:modified xsi:type="dcterms:W3CDTF">2026-01-26T15:57:41Z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2b6c078-73cb-4371-8a5b-e9fc18accbf8_Enabled">
    <vt:lpwstr>true</vt:lpwstr>
  </property>
  <property fmtid="{D5CDD505-2E9C-101B-9397-08002B2CF9AE}" pid="3" name="MSIP_Label_e2b6c078-73cb-4371-8a5b-e9fc18accbf8_SetDate">
    <vt:lpwstr>2025-04-24T05:38:46Z</vt:lpwstr>
  </property>
  <property fmtid="{D5CDD505-2E9C-101B-9397-08002B2CF9AE}" pid="4" name="MSIP_Label_e2b6c078-73cb-4371-8a5b-e9fc18accbf8_Method">
    <vt:lpwstr>Standard</vt:lpwstr>
  </property>
  <property fmtid="{D5CDD505-2E9C-101B-9397-08002B2CF9AE}" pid="5" name="MSIP_Label_e2b6c078-73cb-4371-8a5b-e9fc18accbf8_Name">
    <vt:lpwstr>INTERNAL</vt:lpwstr>
  </property>
  <property fmtid="{D5CDD505-2E9C-101B-9397-08002B2CF9AE}" pid="6" name="MSIP_Label_e2b6c078-73cb-4371-8a5b-e9fc18accbf8_SiteId">
    <vt:lpwstr>56c62bbe-8598-4b85-9e51-1ca753fa50f2</vt:lpwstr>
  </property>
  <property fmtid="{D5CDD505-2E9C-101B-9397-08002B2CF9AE}" pid="7" name="MSIP_Label_e2b6c078-73cb-4371-8a5b-e9fc18accbf8_ActionId">
    <vt:lpwstr>ce46d1a9-0be2-4a00-ac6e-17c6e352b50b</vt:lpwstr>
  </property>
  <property fmtid="{D5CDD505-2E9C-101B-9397-08002B2CF9AE}" pid="8" name="MSIP_Label_e2b6c078-73cb-4371-8a5b-e9fc18accbf8_ContentBits">
    <vt:lpwstr>0</vt:lpwstr>
  </property>
  <property fmtid="{D5CDD505-2E9C-101B-9397-08002B2CF9AE}" pid="9" name="MSIP_Label_e2b6c078-73cb-4371-8a5b-e9fc18accbf8_Tag">
    <vt:lpwstr>10, 3, 0, 1</vt:lpwstr>
  </property>
  <property fmtid="{D5CDD505-2E9C-101B-9397-08002B2CF9AE}" pid="10" name="ICV">
    <vt:lpwstr>677010A4033040C4921D9B14BDE59801_12</vt:lpwstr>
  </property>
  <property fmtid="{D5CDD505-2E9C-101B-9397-08002B2CF9AE}" pid="11" name="KSOProductBuildVer">
    <vt:lpwstr>1033-12.2.0.23196</vt:lpwstr>
  </property>
</Properties>
</file>